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5200" windowHeight="11925" activeTab="1"/>
  </bookViews>
  <sheets>
    <sheet name="Collector" sheetId="1" r:id="rId1"/>
    <sheet name="Sensor(s)" sheetId="2" r:id="rId2"/>
  </sheets>
  <definedNames>
    <definedName name="AppCheckbox">"Check Box 1"</definedName>
    <definedName name="_xlnm.Print_Area" localSheetId="0">Collector!$B$1:$Z$42</definedName>
  </definedNames>
  <calcPr calcId="144525"/>
</workbook>
</file>

<file path=xl/sharedStrings.xml><?xml version="1.0" encoding="utf-8"?>
<sst xmlns="http://schemas.openxmlformats.org/spreadsheetml/2006/main" count="135" uniqueCount="89">
  <si>
    <t>Test Equipment</t>
  </si>
  <si>
    <t>Collector Serial Number</t>
  </si>
  <si>
    <t>Collector Part Number</t>
  </si>
  <si>
    <t>Manufacturer</t>
  </si>
  <si>
    <t>Model</t>
  </si>
  <si>
    <t>Calibration ID</t>
  </si>
  <si>
    <t>Last Cal Date</t>
  </si>
  <si>
    <t>Cal Due Date</t>
  </si>
  <si>
    <t>Tested by:</t>
  </si>
  <si>
    <t>Date</t>
  </si>
  <si>
    <t>Quality Witness:</t>
  </si>
  <si>
    <t>Attachments</t>
  </si>
  <si>
    <t>Log Files</t>
  </si>
  <si>
    <t>Current Versions</t>
  </si>
  <si>
    <t>WiFi Verification Screenshot</t>
  </si>
  <si>
    <t>LineWatch App</t>
  </si>
  <si>
    <t>Serial Number Verification Screenshot</t>
  </si>
  <si>
    <t>Time/Date Screenshot</t>
  </si>
  <si>
    <t>Collector Software</t>
  </si>
  <si>
    <t>Customer Config Loaded</t>
  </si>
  <si>
    <t>Criteria</t>
  </si>
  <si>
    <t>Result</t>
  </si>
  <si>
    <t>Pass/Fail</t>
  </si>
  <si>
    <t>Pre-ATP Checklist complete? (1102186300)</t>
  </si>
  <si>
    <t>Untested</t>
  </si>
  <si>
    <t>Software Version Latest</t>
  </si>
  <si>
    <t>config.xml updated</t>
  </si>
  <si>
    <t>wpa_supplicant.conf updated</t>
  </si>
  <si>
    <t>WiFi Communicates with Collector</t>
  </si>
  <si>
    <t>PRD-1102191012 Tests</t>
  </si>
  <si>
    <t>Date &amp; Time accurate for UTC</t>
  </si>
  <si>
    <t>AC Voltage Measured Across L-N</t>
  </si>
  <si>
    <t>Voltage at least 13000</t>
  </si>
  <si>
    <t>DC Voltage Measured Across (+)/(-)</t>
  </si>
  <si>
    <t>Voltage Ride Through enabled</t>
  </si>
  <si>
    <t>AC Voltage Measured across (-) and N</t>
  </si>
  <si>
    <t>Super cap voltage</t>
  </si>
  <si>
    <t>Continuity From DC (-) to N</t>
  </si>
  <si>
    <t>Restore Defaults</t>
  </si>
  <si>
    <t>Continuity From Earth Terminals to GL2</t>
  </si>
  <si>
    <t>30 Second Ride Through</t>
  </si>
  <si>
    <t>Continuity From GL2 to GL1</t>
  </si>
  <si>
    <t>Continuity from Sheetmetal to GL2</t>
  </si>
  <si>
    <t>Criteria/
Reference</t>
  </si>
  <si>
    <t>Sensor 1</t>
  </si>
  <si>
    <t>Sensor 2</t>
  </si>
  <si>
    <t>Sensor 3</t>
  </si>
  <si>
    <t>Sensor 4</t>
  </si>
  <si>
    <t>Sensor 5</t>
  </si>
  <si>
    <t>Sensor 6</t>
  </si>
  <si>
    <t>Part Number</t>
  </si>
  <si>
    <t>n/a</t>
  </si>
  <si>
    <t>Revision</t>
  </si>
  <si>
    <t>Serial Number</t>
  </si>
  <si>
    <t>5A Startup</t>
  </si>
  <si>
    <t>25 min max allowed time</t>
  </si>
  <si>
    <t>Software Version</t>
  </si>
  <si>
    <t>See 1102198164</t>
  </si>
  <si>
    <t>Reporting Data</t>
  </si>
  <si>
    <t>RSSI Reported</t>
  </si>
  <si>
    <t>greater than -75</t>
  </si>
  <si>
    <t>Scale Raw Temp</t>
  </si>
  <si>
    <t>Offset Raw Temp</t>
  </si>
  <si>
    <t>Collector Calibration Factor</t>
  </si>
  <si>
    <t>voltageTempScale</t>
  </si>
  <si>
    <t>voltageTempOffset</t>
  </si>
  <si>
    <t>10K Fault Scale</t>
  </si>
  <si>
    <t>25K Fault Scale</t>
  </si>
  <si>
    <t>Calibrated</t>
  </si>
  <si>
    <t>Pass</t>
  </si>
  <si>
    <t>Temperature ± 15C from ambient</t>
  </si>
  <si>
    <t>Positive Fault Current Measurement?</t>
  </si>
  <si>
    <t>&gt;= 0</t>
  </si>
  <si>
    <t>Reference</t>
  </si>
  <si>
    <t>Voltage (V)</t>
  </si>
  <si>
    <t xml:space="preserve">Current (A) </t>
  </si>
  <si>
    <t>Power Factor</t>
  </si>
  <si>
    <t>0.9 lag</t>
  </si>
  <si>
    <t>Power (W)</t>
  </si>
  <si>
    <t>Results</t>
  </si>
  <si>
    <t>scaleCurrent</t>
  </si>
  <si>
    <t>scaleVoltage</t>
  </si>
  <si>
    <t>correctionAngle</t>
  </si>
  <si>
    <t>Compare reference</t>
  </si>
  <si>
    <t>All values persist?</t>
  </si>
  <si>
    <t>Log Files (Attach here)</t>
  </si>
  <si>
    <t>Watchdog.txt</t>
  </si>
  <si>
    <t>Sensorcomm.txt</t>
  </si>
  <si>
    <t>Updater.txt</t>
  </si>
</sst>
</file>

<file path=xl/styles.xml><?xml version="1.0" encoding="utf-8"?>
<styleSheet xmlns="http://schemas.openxmlformats.org/spreadsheetml/2006/main">
  <numFmts count="7">
    <numFmt numFmtId="44" formatCode="_(&quot;$&quot;* #,##0.00_);_(&quot;$&quot;* \(#,##0.00\);_(&quot;$&quot;* &quot;-&quot;??_);_(@_)"/>
    <numFmt numFmtId="176" formatCode="_ * #,##0_ ;_ * \-#,##0_ ;_ * &quot;-&quot;_ ;_ @_ "/>
    <numFmt numFmtId="177" formatCode="0.0"/>
    <numFmt numFmtId="178" formatCode="0.000"/>
    <numFmt numFmtId="179" formatCode="_ * #,##0.00_ ;_ * \-#,##0.00_ ;_ * &quot;-&quot;??_ ;_ @_ "/>
    <numFmt numFmtId="42" formatCode="_(&quot;$&quot;* #,##0_);_(&quot;$&quot;* \(#,##0\);_(&quot;$&quot;* &quot;-&quot;_);_(@_)"/>
    <numFmt numFmtId="180" formatCode="yyyy\-mm\-dd"/>
  </numFmts>
  <fonts count="26">
    <font>
      <sz val="11"/>
      <color theme="1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u/>
      <sz val="11"/>
      <color rgb="FF800080"/>
      <name val="Calibri"/>
      <charset val="134"/>
      <scheme val="minor"/>
    </font>
    <font>
      <sz val="11"/>
      <color theme="1"/>
      <name val="Calibri"/>
      <charset val="134"/>
    </font>
    <font>
      <b/>
      <sz val="14"/>
      <color theme="1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1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8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u/>
      <sz val="11"/>
      <color theme="10"/>
      <name val="Calibri"/>
      <charset val="134"/>
      <scheme val="minor"/>
    </font>
    <font>
      <sz val="11"/>
      <color rgb="FF9C0006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006100"/>
      <name val="Calibri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65"/>
        <bgColor rgb="FFFF0000" tint="0.05"/>
      </patternFill>
    </fill>
    <fill>
      <patternFill patternType="solid">
        <fgColor theme="4" tint="0.4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599993896298105"/>
        <bgColor indexed="64"/>
      </patternFill>
    </fill>
  </fills>
  <borders count="73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dashed">
        <color auto="1"/>
      </right>
      <top style="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0" fontId="8" fillId="20" borderId="0">
      <alignment vertical="center"/>
    </xf>
    <xf numFmtId="179" fontId="0" fillId="0" borderId="0">
      <alignment vertical="center"/>
    </xf>
    <xf numFmtId="176" fontId="0" fillId="0" borderId="0">
      <alignment vertical="center"/>
    </xf>
    <xf numFmtId="42" fontId="0" fillId="0" borderId="0">
      <alignment vertical="center"/>
    </xf>
    <xf numFmtId="44" fontId="0" fillId="0" borderId="0">
      <alignment vertical="center"/>
    </xf>
    <xf numFmtId="9" fontId="0" fillId="0" borderId="0">
      <alignment vertical="center"/>
    </xf>
    <xf numFmtId="0" fontId="13" fillId="21" borderId="68">
      <alignment vertical="center"/>
    </xf>
    <xf numFmtId="0" fontId="18" fillId="0" borderId="70">
      <alignment vertical="center"/>
    </xf>
    <xf numFmtId="0" fontId="0" fillId="22" borderId="71">
      <alignment vertical="center"/>
    </xf>
    <xf numFmtId="0" fontId="21" fillId="0" borderId="0"/>
    <xf numFmtId="0" fontId="7" fillId="19" borderId="0">
      <alignment vertical="center"/>
    </xf>
    <xf numFmtId="0" fontId="17" fillId="0" borderId="0">
      <alignment vertical="center"/>
    </xf>
    <xf numFmtId="0" fontId="8" fillId="18" borderId="0">
      <alignment vertical="center"/>
    </xf>
    <xf numFmtId="0" fontId="20" fillId="0" borderId="0">
      <alignment vertical="center"/>
    </xf>
    <xf numFmtId="0" fontId="8" fillId="35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9" fillId="0" borderId="70">
      <alignment vertical="center"/>
    </xf>
    <xf numFmtId="0" fontId="14" fillId="0" borderId="69">
      <alignment vertical="center"/>
    </xf>
    <xf numFmtId="0" fontId="14" fillId="0" borderId="0">
      <alignment vertical="center"/>
    </xf>
    <xf numFmtId="0" fontId="12" fillId="17" borderId="67">
      <alignment vertical="center"/>
    </xf>
    <xf numFmtId="0" fontId="7" fillId="16" borderId="0">
      <alignment vertical="center"/>
    </xf>
    <xf numFmtId="0" fontId="25" fillId="34" borderId="0">
      <alignment vertical="center"/>
    </xf>
    <xf numFmtId="0" fontId="24" fillId="33" borderId="72">
      <alignment vertical="center"/>
    </xf>
    <xf numFmtId="0" fontId="8" fillId="15" borderId="0">
      <alignment vertical="center"/>
    </xf>
    <xf numFmtId="0" fontId="23" fillId="33" borderId="67">
      <alignment vertical="center"/>
    </xf>
    <xf numFmtId="0" fontId="11" fillId="0" borderId="66">
      <alignment vertical="center"/>
    </xf>
    <xf numFmtId="0" fontId="10" fillId="0" borderId="65">
      <alignment vertical="center"/>
    </xf>
    <xf numFmtId="0" fontId="22" fillId="32" borderId="0">
      <alignment vertical="center"/>
    </xf>
    <xf numFmtId="0" fontId="9" fillId="14" borderId="0">
      <alignment vertical="center"/>
    </xf>
    <xf numFmtId="0" fontId="7" fillId="31" borderId="0">
      <alignment vertical="center"/>
    </xf>
    <xf numFmtId="0" fontId="8" fillId="13" borderId="0">
      <alignment vertical="center"/>
    </xf>
    <xf numFmtId="0" fontId="7" fillId="30" borderId="0">
      <alignment vertical="center"/>
    </xf>
    <xf numFmtId="0" fontId="7" fillId="12" borderId="0">
      <alignment vertical="center"/>
    </xf>
    <xf numFmtId="0" fontId="8" fillId="29" borderId="0">
      <alignment vertical="center"/>
    </xf>
    <xf numFmtId="0" fontId="8" fillId="28" borderId="0">
      <alignment vertical="center"/>
    </xf>
    <xf numFmtId="0" fontId="7" fillId="27" borderId="0">
      <alignment vertical="center"/>
    </xf>
    <xf numFmtId="0" fontId="7" fillId="11" borderId="0">
      <alignment vertical="center"/>
    </xf>
    <xf numFmtId="0" fontId="8" fillId="26" borderId="0">
      <alignment vertical="center"/>
    </xf>
    <xf numFmtId="0" fontId="7" fillId="10" borderId="0">
      <alignment vertical="center"/>
    </xf>
    <xf numFmtId="0" fontId="8" fillId="25" borderId="0">
      <alignment vertical="center"/>
    </xf>
    <xf numFmtId="0" fontId="8" fillId="9" borderId="0">
      <alignment vertical="center"/>
    </xf>
    <xf numFmtId="0" fontId="7" fillId="8" borderId="0">
      <alignment vertical="center"/>
    </xf>
    <xf numFmtId="0" fontId="8" fillId="7" borderId="0">
      <alignment vertical="center"/>
    </xf>
    <xf numFmtId="0" fontId="7" fillId="24" borderId="0">
      <alignment vertical="center"/>
    </xf>
    <xf numFmtId="0" fontId="7" fillId="6" borderId="0">
      <alignment vertical="center"/>
    </xf>
    <xf numFmtId="0" fontId="8" fillId="23" borderId="0">
      <alignment vertical="center"/>
    </xf>
    <xf numFmtId="0" fontId="7" fillId="5" borderId="0">
      <alignment vertical="center"/>
    </xf>
  </cellStyleXfs>
  <cellXfs count="109">
    <xf numFmtId="0" fontId="0" fillId="0" borderId="0" xfId="0"/>
    <xf numFmtId="0" fontId="0" fillId="0" borderId="0" xfId="0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58" fontId="1" fillId="0" borderId="2" xfId="0" applyNumberFormat="1" applyFont="1" applyBorder="1" applyAlignment="1" applyProtection="1">
      <alignment horizontal="center" vertical="center" wrapText="1"/>
      <protection locked="0"/>
    </xf>
    <xf numFmtId="0" fontId="1" fillId="3" borderId="2" xfId="0" applyFont="1" applyFill="1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4" borderId="4" xfId="0" applyFill="1" applyBorder="1" applyAlignment="1" applyProtection="1">
      <alignment horizontal="center" vertical="center" wrapText="1"/>
      <protection locked="0"/>
    </xf>
    <xf numFmtId="1" fontId="0" fillId="4" borderId="4" xfId="0" applyNumberFormat="1" applyFill="1" applyBorder="1" applyAlignment="1" applyProtection="1">
      <alignment horizontal="center" vertical="center" wrapText="1"/>
      <protection locked="0"/>
    </xf>
    <xf numFmtId="0" fontId="3" fillId="0" borderId="4" xfId="1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177" fontId="0" fillId="4" borderId="4" xfId="0" applyNumberFormat="1" applyFill="1" applyBorder="1" applyAlignment="1" applyProtection="1">
      <alignment horizontal="center" vertical="center" wrapText="1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2" fillId="0" borderId="6" xfId="0" applyFont="1" applyBorder="1" applyAlignment="1" applyProtection="1">
      <alignment horizontal="center" vertical="center" wrapText="1"/>
      <protection locked="0"/>
    </xf>
    <xf numFmtId="0" fontId="0" fillId="0" borderId="6" xfId="0" applyBorder="1" applyAlignment="1" applyProtection="1">
      <alignment horizontal="center" vertical="center" wrapText="1"/>
      <protection locked="0"/>
    </xf>
    <xf numFmtId="0" fontId="0" fillId="4" borderId="6" xfId="0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1" fillId="0" borderId="2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7" xfId="0" applyFont="1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0" fillId="4" borderId="8" xfId="0" applyFill="1" applyBorder="1" applyAlignment="1" applyProtection="1">
      <alignment horizontal="center" vertical="center" wrapText="1"/>
      <protection locked="0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4" borderId="9" xfId="0" applyFill="1" applyBorder="1" applyAlignment="1" applyProtection="1">
      <alignment horizontal="center" vertical="center" wrapText="1"/>
      <protection locked="0"/>
    </xf>
    <xf numFmtId="0" fontId="0" fillId="4" borderId="8" xfId="0" applyFill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0" fontId="0" fillId="0" borderId="11" xfId="0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0" fillId="0" borderId="4" xfId="0" applyBorder="1" applyAlignment="1">
      <alignment horizontal="center" vertical="center" wrapText="1"/>
    </xf>
    <xf numFmtId="0" fontId="2" fillId="0" borderId="5" xfId="0" applyFont="1" applyBorder="1" applyAlignment="1" applyProtection="1">
      <alignment horizontal="center" vertical="center" wrapText="1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0" fontId="0" fillId="0" borderId="13" xfId="0" applyBorder="1"/>
    <xf numFmtId="0" fontId="5" fillId="0" borderId="14" xfId="0" applyFont="1" applyBorder="1" applyAlignment="1" applyProtection="1">
      <alignment horizontal="center" vertical="center"/>
      <protection locked="0"/>
    </xf>
    <xf numFmtId="0" fontId="0" fillId="0" borderId="15" xfId="0" applyBorder="1"/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/>
    <xf numFmtId="0" fontId="0" fillId="0" borderId="18" xfId="0" applyBorder="1"/>
    <xf numFmtId="0" fontId="0" fillId="0" borderId="0" xfId="0" applyAlignment="1" applyProtection="1">
      <alignment horizontal="center" vertical="center"/>
      <protection locked="0"/>
    </xf>
    <xf numFmtId="0" fontId="1" fillId="3" borderId="19" xfId="0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4" borderId="20" xfId="0" applyFill="1" applyBorder="1" applyAlignment="1" applyProtection="1">
      <alignment horizontal="center" vertical="center" wrapText="1"/>
      <protection locked="0"/>
    </xf>
    <xf numFmtId="1" fontId="0" fillId="4" borderId="20" xfId="0" applyNumberFormat="1" applyFill="1" applyBorder="1" applyAlignment="1" applyProtection="1">
      <alignment horizontal="center" vertical="center" wrapText="1"/>
      <protection locked="0"/>
    </xf>
    <xf numFmtId="177" fontId="0" fillId="4" borderId="20" xfId="0" applyNumberFormat="1" applyFill="1" applyBorder="1" applyAlignment="1" applyProtection="1">
      <alignment horizontal="center" vertical="center" wrapText="1"/>
      <protection locked="0"/>
    </xf>
    <xf numFmtId="0" fontId="0" fillId="4" borderId="21" xfId="0" applyFill="1" applyBorder="1" applyAlignment="1" applyProtection="1">
      <alignment horizontal="center" vertical="center" wrapText="1"/>
      <protection locked="0"/>
    </xf>
    <xf numFmtId="178" fontId="0" fillId="0" borderId="0" xfId="0" applyNumberFormat="1" applyAlignment="1" applyProtection="1">
      <alignment horizontal="center" vertical="center" wrapText="1"/>
      <protection locked="0"/>
    </xf>
    <xf numFmtId="180" fontId="0" fillId="0" borderId="22" xfId="0" applyNumberFormat="1" applyBorder="1" applyAlignment="1" applyProtection="1">
      <alignment horizontal="center" vertical="center"/>
      <protection locked="0"/>
    </xf>
    <xf numFmtId="0" fontId="0" fillId="0" borderId="23" xfId="0" applyBorder="1"/>
    <xf numFmtId="0" fontId="0" fillId="0" borderId="22" xfId="0" applyBorder="1" applyAlignment="1" applyProtection="1">
      <alignment horizontal="center" vertical="center"/>
      <protection locked="0"/>
    </xf>
    <xf numFmtId="0" fontId="5" fillId="0" borderId="24" xfId="0" applyFont="1" applyBorder="1" applyAlignment="1" applyProtection="1">
      <alignment horizontal="center" vertical="center"/>
      <protection locked="0"/>
    </xf>
    <xf numFmtId="0" fontId="0" fillId="0" borderId="25" xfId="0" applyBorder="1"/>
    <xf numFmtId="0" fontId="0" fillId="0" borderId="26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0" borderId="28" xfId="0" applyBorder="1" applyAlignment="1" applyProtection="1">
      <alignment horizontal="center" vertical="center"/>
      <protection locked="0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14" xfId="0" applyBorder="1" applyAlignment="1" applyProtection="1">
      <alignment horizontal="center" vertical="center"/>
      <protection locked="0"/>
    </xf>
    <xf numFmtId="0" fontId="2" fillId="0" borderId="16" xfId="0" applyFont="1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0" fontId="0" fillId="0" borderId="33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35" xfId="0" applyBorder="1"/>
    <xf numFmtId="0" fontId="2" fillId="0" borderId="3" xfId="0" applyFont="1" applyBorder="1" applyAlignment="1" applyProtection="1">
      <alignment horizontal="center" vertical="center"/>
      <protection locked="0"/>
    </xf>
    <xf numFmtId="0" fontId="6" fillId="0" borderId="36" xfId="0" applyFont="1" applyBorder="1" applyAlignment="1" applyProtection="1">
      <alignment horizontal="center" vertical="center"/>
      <protection locked="0"/>
    </xf>
    <xf numFmtId="0" fontId="0" fillId="0" borderId="37" xfId="0" applyBorder="1"/>
    <xf numFmtId="0" fontId="2" fillId="0" borderId="4" xfId="0" applyFont="1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2" fillId="0" borderId="6" xfId="0" applyFont="1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5" xfId="0" applyBorder="1"/>
    <xf numFmtId="0" fontId="2" fillId="0" borderId="46" xfId="0" applyFont="1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 applyAlignment="1" applyProtection="1">
      <alignment horizontal="center" vertical="center"/>
      <protection locked="0"/>
    </xf>
    <xf numFmtId="0" fontId="5" fillId="0" borderId="52" xfId="0" applyFont="1" applyBorder="1" applyAlignment="1" applyProtection="1">
      <alignment horizontal="center" vertical="center"/>
      <protection locked="0"/>
    </xf>
    <xf numFmtId="0" fontId="5" fillId="0" borderId="53" xfId="0" applyFont="1" applyBorder="1" applyAlignment="1" applyProtection="1">
      <alignment horizontal="center" vertical="center"/>
      <protection locked="0"/>
    </xf>
    <xf numFmtId="0" fontId="2" fillId="0" borderId="54" xfId="0" applyFont="1" applyBorder="1" applyAlignment="1" applyProtection="1">
      <alignment horizontal="center" vertical="center"/>
      <protection locked="0"/>
    </xf>
    <xf numFmtId="0" fontId="0" fillId="0" borderId="55" xfId="0" applyBorder="1" applyAlignment="1" applyProtection="1">
      <alignment horizontal="center" vertical="center" wrapText="1"/>
      <protection locked="0"/>
    </xf>
    <xf numFmtId="0" fontId="5" fillId="0" borderId="55" xfId="0" applyFont="1" applyBorder="1" applyAlignment="1" applyProtection="1">
      <alignment horizontal="center" vertical="center"/>
      <protection locked="0"/>
    </xf>
    <xf numFmtId="0" fontId="0" fillId="0" borderId="56" xfId="0" applyBorder="1" applyAlignment="1">
      <alignment horizontal="center" vertical="center"/>
    </xf>
    <xf numFmtId="0" fontId="6" fillId="0" borderId="0" xfId="0" applyFont="1" applyAlignment="1" applyProtection="1">
      <alignment horizontal="center" vertical="center" wrapText="1"/>
      <protection locked="0"/>
    </xf>
    <xf numFmtId="0" fontId="0" fillId="0" borderId="55" xfId="0" applyBorder="1" applyAlignment="1" applyProtection="1">
      <alignment horizontal="center" vertical="center"/>
      <protection locked="0"/>
    </xf>
    <xf numFmtId="0" fontId="2" fillId="0" borderId="57" xfId="0" applyFont="1" applyBorder="1" applyAlignment="1" applyProtection="1">
      <alignment horizontal="center" vertical="center"/>
      <protection locked="0"/>
    </xf>
    <xf numFmtId="0" fontId="0" fillId="0" borderId="58" xfId="0" applyBorder="1"/>
    <xf numFmtId="0" fontId="2" fillId="0" borderId="59" xfId="0" applyFont="1" applyBorder="1" applyAlignment="1" applyProtection="1">
      <alignment horizontal="center" vertical="center"/>
      <protection locked="0"/>
    </xf>
    <xf numFmtId="0" fontId="0" fillId="0" borderId="60" xfId="0" applyBorder="1" applyAlignment="1" applyProtection="1">
      <alignment horizontal="center" vertical="center" wrapText="1"/>
      <protection locked="0"/>
    </xf>
    <xf numFmtId="0" fontId="0" fillId="0" borderId="60" xfId="0" applyBorder="1" applyAlignment="1" applyProtection="1">
      <alignment horizontal="center" vertical="center"/>
      <protection locked="0"/>
    </xf>
    <xf numFmtId="0" fontId="0" fillId="0" borderId="61" xfId="0" applyBorder="1" applyAlignment="1">
      <alignment horizontal="center" vertical="center"/>
    </xf>
    <xf numFmtId="0" fontId="2" fillId="0" borderId="5" xfId="0" applyFont="1" applyBorder="1" applyAlignment="1" applyProtection="1">
      <alignment horizontal="center" vertical="center"/>
      <protection locked="0"/>
    </xf>
    <xf numFmtId="0" fontId="5" fillId="0" borderId="62" xfId="0" applyFont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vertical="center"/>
      <protection locked="0"/>
    </xf>
    <xf numFmtId="0" fontId="0" fillId="0" borderId="63" xfId="0" applyBorder="1"/>
    <xf numFmtId="0" fontId="0" fillId="0" borderId="64" xfId="0" applyBorder="1"/>
    <xf numFmtId="0" fontId="0" fillId="0" borderId="21" xfId="0" applyBorder="1" applyAlignment="1" applyProtection="1">
      <alignment horizontal="center" vertical="center"/>
      <protection locked="0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dxfs count="15"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strike val="0"/>
      </font>
      <numFmt numFmtId="49" formatCode="@"/>
      <fill>
        <patternFill patternType="solid">
          <bgColor rgb="FF92D05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color rgb="FF006100"/>
      </font>
      <fill>
        <patternFill patternType="solid">
          <bgColor theme="9" tint="0.6"/>
        </patternFill>
      </fill>
    </dxf>
    <dxf>
      <font>
        <color theme="1"/>
      </font>
    </dxf>
    <dxf>
      <font>
        <color theme="9" tint="-0.5"/>
      </font>
      <fill>
        <patternFill patternType="solid">
          <bgColor theme="9" tint="0.6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theme="7" tint="0.8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theme="9" tint="0.6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theme="0" tint="-0.0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192.168.1.1/index.php/main/advanced_confi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188"/>
  <sheetViews>
    <sheetView workbookViewId="0">
      <selection activeCell="K18" sqref="K18"/>
    </sheetView>
  </sheetViews>
  <sheetFormatPr defaultColWidth="9.10619469026549" defaultRowHeight="14.25"/>
  <cols>
    <col min="1" max="1" width="13.1061946902655" style="40" customWidth="1"/>
    <col min="2" max="2" width="20.6637168141593" style="40" customWidth="1"/>
    <col min="3" max="3" width="17.8938053097345" style="40" customWidth="1"/>
    <col min="4" max="4" width="13.8938053097345" style="40" customWidth="1"/>
    <col min="5" max="5" width="12.5575221238938" style="40" customWidth="1"/>
    <col min="6" max="6" width="18" style="40" customWidth="1"/>
    <col min="7" max="7" width="11.4424778761062" style="40" customWidth="1"/>
    <col min="8" max="8" width="36.1061946902655" style="40" customWidth="1"/>
    <col min="9" max="9" width="10.4424778761062" style="40" customWidth="1"/>
    <col min="10" max="10" width="17.4424778761062" style="40" customWidth="1"/>
    <col min="11" max="11" width="20.3362831858407" style="40" customWidth="1"/>
    <col min="12" max="13" width="10.4424778761062" style="40" customWidth="1"/>
    <col min="14" max="15" width="9.10619469026549" style="40" customWidth="1"/>
    <col min="16" max="16" width="9.10619469026549" style="40" hidden="1" customWidth="1"/>
    <col min="17" max="16384" width="9.10619469026549" style="40" customWidth="1"/>
  </cols>
  <sheetData>
    <row r="1" ht="19.25" customHeight="1" spans="1:10">
      <c r="A1" s="51" t="s">
        <v>0</v>
      </c>
      <c r="B1" s="36"/>
      <c r="C1" s="36"/>
      <c r="D1" s="36"/>
      <c r="E1" s="52"/>
      <c r="G1" s="35" t="s">
        <v>1</v>
      </c>
      <c r="H1" s="34"/>
      <c r="I1" s="35" t="s">
        <v>2</v>
      </c>
      <c r="J1" s="34"/>
    </row>
    <row r="2" ht="15.25" customHeight="1" spans="1:10">
      <c r="A2" s="53" t="s">
        <v>3</v>
      </c>
      <c r="B2" s="54" t="s">
        <v>4</v>
      </c>
      <c r="C2" s="54" t="s">
        <v>5</v>
      </c>
      <c r="D2" s="54" t="s">
        <v>6</v>
      </c>
      <c r="E2" s="55" t="s">
        <v>7</v>
      </c>
      <c r="G2" s="56"/>
      <c r="H2" s="57"/>
      <c r="I2" s="56"/>
      <c r="J2" s="57"/>
    </row>
    <row r="3" ht="15.25" customHeight="1" spans="1:10">
      <c r="A3" s="53"/>
      <c r="B3" s="54"/>
      <c r="C3" s="54"/>
      <c r="D3" s="54"/>
      <c r="E3" s="55"/>
      <c r="G3" s="58"/>
      <c r="H3" s="59"/>
      <c r="I3" s="58"/>
      <c r="J3" s="59"/>
    </row>
    <row r="4" ht="30.75" customHeight="1" spans="1:11">
      <c r="A4" s="53"/>
      <c r="B4" s="54"/>
      <c r="C4" s="54"/>
      <c r="D4" s="54"/>
      <c r="E4" s="55"/>
      <c r="G4" s="60"/>
      <c r="H4" s="33" t="s">
        <v>8</v>
      </c>
      <c r="I4" s="36"/>
      <c r="J4" s="34"/>
      <c r="K4" s="104" t="s">
        <v>9</v>
      </c>
    </row>
    <row r="5" ht="30.75" customHeight="1" spans="1:11">
      <c r="A5" s="53"/>
      <c r="B5" s="54"/>
      <c r="C5" s="54"/>
      <c r="D5" s="54"/>
      <c r="E5" s="55"/>
      <c r="G5" s="61"/>
      <c r="H5" s="62"/>
      <c r="I5" s="38"/>
      <c r="J5" s="39"/>
      <c r="K5" s="105"/>
    </row>
    <row r="6" ht="30.75" customHeight="1" spans="1:5">
      <c r="A6" s="53"/>
      <c r="B6" s="54"/>
      <c r="C6" s="54"/>
      <c r="D6" s="54"/>
      <c r="E6" s="55"/>
    </row>
    <row r="7" ht="30.75" customHeight="1" spans="1:11">
      <c r="A7" s="53"/>
      <c r="B7" s="54"/>
      <c r="C7" s="54"/>
      <c r="D7" s="54"/>
      <c r="E7" s="55"/>
      <c r="G7" s="60"/>
      <c r="H7" s="33" t="s">
        <v>10</v>
      </c>
      <c r="I7" s="36"/>
      <c r="J7" s="34"/>
      <c r="K7" s="104" t="s">
        <v>9</v>
      </c>
    </row>
    <row r="8" ht="30.75" customHeight="1" spans="1:11">
      <c r="A8" s="53"/>
      <c r="B8" s="54"/>
      <c r="C8" s="54"/>
      <c r="D8" s="54"/>
      <c r="E8" s="55"/>
      <c r="G8" s="61"/>
      <c r="H8" s="62"/>
      <c r="I8" s="38"/>
      <c r="J8" s="39"/>
      <c r="K8" s="105"/>
    </row>
    <row r="9" ht="16" customHeight="1" spans="1:5">
      <c r="A9" s="53"/>
      <c r="B9" s="54"/>
      <c r="C9" s="54"/>
      <c r="D9" s="54"/>
      <c r="E9" s="55"/>
    </row>
    <row r="10" ht="19.25" customHeight="1" spans="1:9">
      <c r="A10" s="63"/>
      <c r="B10" s="64"/>
      <c r="C10" s="64"/>
      <c r="D10" s="64"/>
      <c r="E10" s="65"/>
      <c r="G10" s="66" t="s">
        <v>11</v>
      </c>
      <c r="H10" s="67"/>
      <c r="I10" s="106"/>
    </row>
    <row r="11" ht="15.25" customHeight="1" spans="7:9">
      <c r="G11" s="68">
        <v>14</v>
      </c>
      <c r="H11" s="54" t="s">
        <v>12</v>
      </c>
      <c r="I11" s="72"/>
    </row>
    <row r="12" ht="21" customHeight="1" spans="1:9">
      <c r="A12" s="69" t="s">
        <v>13</v>
      </c>
      <c r="B12" s="67"/>
      <c r="C12" s="67"/>
      <c r="D12" s="67"/>
      <c r="E12" s="70"/>
      <c r="G12" s="68">
        <v>15</v>
      </c>
      <c r="H12" s="40" t="s">
        <v>14</v>
      </c>
      <c r="I12" s="72"/>
    </row>
    <row r="13" spans="1:9">
      <c r="A13" s="71">
        <v>2</v>
      </c>
      <c r="B13" s="54" t="s">
        <v>15</v>
      </c>
      <c r="C13" s="72"/>
      <c r="D13" s="73"/>
      <c r="E13" s="74"/>
      <c r="G13" s="68">
        <v>16</v>
      </c>
      <c r="H13" s="54" t="s">
        <v>16</v>
      </c>
      <c r="I13" s="72"/>
    </row>
    <row r="14" spans="1:9">
      <c r="A14" s="75"/>
      <c r="B14" s="75"/>
      <c r="C14" s="76"/>
      <c r="D14" s="77"/>
      <c r="E14" s="78"/>
      <c r="G14" s="68">
        <v>17</v>
      </c>
      <c r="H14" s="54" t="s">
        <v>17</v>
      </c>
      <c r="I14" s="72"/>
    </row>
    <row r="15" ht="15.25" customHeight="1" spans="1:9">
      <c r="A15" s="79">
        <v>3</v>
      </c>
      <c r="B15" s="64" t="s">
        <v>18</v>
      </c>
      <c r="C15" s="80"/>
      <c r="E15" s="81"/>
      <c r="G15" s="82">
        <v>18</v>
      </c>
      <c r="H15" s="83" t="s">
        <v>19</v>
      </c>
      <c r="I15" s="80"/>
    </row>
    <row r="16" ht="15.25" customHeight="1" spans="1:5">
      <c r="A16" s="84"/>
      <c r="B16" s="84"/>
      <c r="C16" s="85"/>
      <c r="D16" s="86"/>
      <c r="E16" s="87"/>
    </row>
    <row r="17" ht="15.25" customHeight="1"/>
    <row r="18" ht="30.75" customHeight="1" spans="1:4">
      <c r="A18" s="88"/>
      <c r="B18" s="89" t="s">
        <v>20</v>
      </c>
      <c r="C18" s="89" t="s">
        <v>21</v>
      </c>
      <c r="D18" s="90" t="s">
        <v>22</v>
      </c>
    </row>
    <row r="19" ht="43.5" customHeight="1" spans="1:16">
      <c r="A19" s="91">
        <v>1</v>
      </c>
      <c r="B19" s="92" t="s">
        <v>23</v>
      </c>
      <c r="C19" s="93"/>
      <c r="D19" s="94" t="s">
        <v>24</v>
      </c>
      <c r="F19" s="95"/>
      <c r="P19" s="40">
        <f>COUNTIF(D19:D28,"Pass")</f>
        <v>0</v>
      </c>
    </row>
    <row r="20" spans="1:4">
      <c r="A20" s="91">
        <v>4</v>
      </c>
      <c r="B20" s="92" t="s">
        <v>25</v>
      </c>
      <c r="C20" s="96"/>
      <c r="D20" s="94" t="s">
        <v>24</v>
      </c>
    </row>
    <row r="21" ht="38.25" customHeight="1" spans="1:4">
      <c r="A21" s="91">
        <v>5</v>
      </c>
      <c r="B21" s="92" t="s">
        <v>26</v>
      </c>
      <c r="C21" s="96"/>
      <c r="D21" s="94" t="s">
        <v>24</v>
      </c>
    </row>
    <row r="22" ht="29.75" customHeight="1" spans="1:4">
      <c r="A22" s="91">
        <v>6</v>
      </c>
      <c r="B22" s="92" t="s">
        <v>27</v>
      </c>
      <c r="C22" s="96"/>
      <c r="D22" s="94" t="s">
        <v>24</v>
      </c>
    </row>
    <row r="23" ht="29" customHeight="1" spans="1:9">
      <c r="A23" s="91">
        <v>7</v>
      </c>
      <c r="B23" s="92" t="s">
        <v>28</v>
      </c>
      <c r="C23" s="96"/>
      <c r="D23" s="94" t="s">
        <v>24</v>
      </c>
      <c r="G23" s="97" t="s">
        <v>29</v>
      </c>
      <c r="H23" s="98"/>
      <c r="I23" s="107"/>
    </row>
    <row r="24" ht="29" customHeight="1" spans="1:9">
      <c r="A24" s="91">
        <v>8</v>
      </c>
      <c r="B24" s="92" t="s">
        <v>30</v>
      </c>
      <c r="C24" s="96"/>
      <c r="D24" s="94" t="s">
        <v>24</v>
      </c>
      <c r="G24" s="68">
        <v>19</v>
      </c>
      <c r="H24" s="54" t="s">
        <v>31</v>
      </c>
      <c r="I24" s="72"/>
    </row>
    <row r="25" ht="35.25" customHeight="1" spans="1:9">
      <c r="A25" s="91">
        <v>9</v>
      </c>
      <c r="B25" s="92" t="s">
        <v>32</v>
      </c>
      <c r="C25" s="96"/>
      <c r="D25" s="94" t="s">
        <v>24</v>
      </c>
      <c r="G25" s="68">
        <v>20</v>
      </c>
      <c r="H25" s="54" t="s">
        <v>33</v>
      </c>
      <c r="I25" s="72"/>
    </row>
    <row r="26" ht="36" customHeight="1" spans="1:9">
      <c r="A26" s="91">
        <v>10</v>
      </c>
      <c r="B26" s="92" t="s">
        <v>34</v>
      </c>
      <c r="C26" s="96"/>
      <c r="D26" s="94" t="s">
        <v>24</v>
      </c>
      <c r="G26" s="68">
        <v>21</v>
      </c>
      <c r="H26" s="54" t="s">
        <v>35</v>
      </c>
      <c r="I26" s="72"/>
    </row>
    <row r="27" ht="33.75" customHeight="1" spans="1:9">
      <c r="A27" s="91">
        <v>11</v>
      </c>
      <c r="B27" s="92" t="s">
        <v>36</v>
      </c>
      <c r="C27" s="96"/>
      <c r="D27" s="94" t="s">
        <v>24</v>
      </c>
      <c r="G27" s="68">
        <v>22</v>
      </c>
      <c r="H27" s="54" t="s">
        <v>37</v>
      </c>
      <c r="I27" s="72"/>
    </row>
    <row r="28" ht="27.75" customHeight="1" spans="1:9">
      <c r="A28" s="91">
        <v>12</v>
      </c>
      <c r="B28" s="92" t="s">
        <v>38</v>
      </c>
      <c r="C28" s="96"/>
      <c r="D28" s="94" t="s">
        <v>24</v>
      </c>
      <c r="G28" s="68">
        <v>23</v>
      </c>
      <c r="H28" s="54" t="s">
        <v>39</v>
      </c>
      <c r="I28" s="72"/>
    </row>
    <row r="29" ht="15.25" customHeight="1" spans="1:9">
      <c r="A29" s="99">
        <v>13</v>
      </c>
      <c r="B29" s="100" t="s">
        <v>40</v>
      </c>
      <c r="C29" s="101"/>
      <c r="D29" s="102" t="s">
        <v>24</v>
      </c>
      <c r="G29" s="68">
        <v>24</v>
      </c>
      <c r="H29" s="54" t="s">
        <v>41</v>
      </c>
      <c r="I29" s="72"/>
    </row>
    <row r="30" ht="15.25" customHeight="1" spans="2:9">
      <c r="B30" s="1"/>
      <c r="G30" s="103">
        <v>25</v>
      </c>
      <c r="H30" s="64" t="s">
        <v>42</v>
      </c>
      <c r="I30" s="108"/>
    </row>
    <row r="31" spans="2:2">
      <c r="B31" s="1"/>
    </row>
    <row r="32" spans="2:2">
      <c r="B32" s="1"/>
    </row>
    <row r="33" spans="2:2">
      <c r="B33" s="1"/>
    </row>
    <row r="34" spans="2:2">
      <c r="B34" s="1"/>
    </row>
    <row r="35" spans="2:2">
      <c r="B35" s="1"/>
    </row>
    <row r="36" spans="2:2">
      <c r="B36" s="1"/>
    </row>
    <row r="37" spans="2:2">
      <c r="B37" s="1"/>
    </row>
    <row r="38" spans="2:2">
      <c r="B38" s="1"/>
    </row>
    <row r="39" spans="2:2">
      <c r="B39" s="1"/>
    </row>
    <row r="40" spans="2:2">
      <c r="B40" s="1"/>
    </row>
    <row r="41" spans="2:2">
      <c r="B41" s="1"/>
    </row>
    <row r="42" spans="2:2">
      <c r="B42" s="1"/>
    </row>
    <row r="43" spans="2:2">
      <c r="B43" s="1"/>
    </row>
    <row r="44" spans="2:2">
      <c r="B44" s="1"/>
    </row>
    <row r="45" spans="2:2">
      <c r="B45" s="1"/>
    </row>
    <row r="46" spans="2:2">
      <c r="B46" s="1"/>
    </row>
    <row r="47" spans="2:2">
      <c r="B47" s="1"/>
    </row>
    <row r="48" spans="2:2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  <row r="81" spans="2:2">
      <c r="B81" s="1"/>
    </row>
    <row r="82" spans="2:2">
      <c r="B82" s="1"/>
    </row>
    <row r="83" spans="2:2">
      <c r="B83" s="1"/>
    </row>
    <row r="84" spans="2:2">
      <c r="B84" s="1"/>
    </row>
    <row r="85" spans="2:2">
      <c r="B85" s="1"/>
    </row>
    <row r="86" spans="2:2">
      <c r="B86" s="1"/>
    </row>
    <row r="87" spans="2:2">
      <c r="B87" s="1"/>
    </row>
    <row r="88" spans="2:2">
      <c r="B88" s="1"/>
    </row>
    <row r="89" spans="2:2">
      <c r="B89" s="1"/>
    </row>
    <row r="90" spans="2:2">
      <c r="B90" s="1"/>
    </row>
    <row r="91" spans="2:2">
      <c r="B91" s="1"/>
    </row>
    <row r="92" spans="2:2">
      <c r="B92" s="1"/>
    </row>
    <row r="93" spans="2:2">
      <c r="B93" s="1"/>
    </row>
    <row r="94" spans="2:2">
      <c r="B94" s="1"/>
    </row>
    <row r="95" spans="2:2">
      <c r="B95" s="1"/>
    </row>
    <row r="96" spans="2:2">
      <c r="B96" s="1"/>
    </row>
    <row r="97" spans="2:2">
      <c r="B97" s="1"/>
    </row>
    <row r="98" spans="2:2">
      <c r="B98" s="1"/>
    </row>
    <row r="99" spans="2:2">
      <c r="B99" s="1"/>
    </row>
    <row r="100" spans="2:2">
      <c r="B100" s="1"/>
    </row>
    <row r="101" spans="2:2">
      <c r="B101" s="1"/>
    </row>
    <row r="102" spans="2:2">
      <c r="B102" s="1"/>
    </row>
    <row r="103" spans="2:2">
      <c r="B103" s="1"/>
    </row>
    <row r="104" spans="2:2">
      <c r="B104" s="1"/>
    </row>
    <row r="105" spans="2:2">
      <c r="B105" s="1"/>
    </row>
    <row r="106" spans="2:2">
      <c r="B106" s="1"/>
    </row>
    <row r="107" spans="2:2">
      <c r="B107" s="1"/>
    </row>
    <row r="108" spans="2:2">
      <c r="B108" s="1"/>
    </row>
    <row r="109" spans="2:2">
      <c r="B109" s="1"/>
    </row>
    <row r="110" spans="2:2">
      <c r="B110" s="1"/>
    </row>
    <row r="111" spans="2:2">
      <c r="B111" s="1"/>
    </row>
    <row r="112" spans="2:2">
      <c r="B112" s="1"/>
    </row>
    <row r="113" spans="2:2">
      <c r="B113" s="1"/>
    </row>
    <row r="114" spans="2:2">
      <c r="B114" s="1"/>
    </row>
    <row r="115" spans="2:2">
      <c r="B115" s="1"/>
    </row>
    <row r="116" spans="2:2">
      <c r="B116" s="1"/>
    </row>
    <row r="117" spans="2:2">
      <c r="B117" s="1"/>
    </row>
    <row r="118" spans="2:2">
      <c r="B118" s="1"/>
    </row>
    <row r="119" spans="2:2">
      <c r="B119" s="1"/>
    </row>
    <row r="120" spans="2:2">
      <c r="B120" s="1"/>
    </row>
    <row r="121" spans="2:2">
      <c r="B121" s="1"/>
    </row>
    <row r="122" spans="2:2">
      <c r="B122" s="1"/>
    </row>
    <row r="123" spans="2:2">
      <c r="B123" s="1"/>
    </row>
    <row r="124" spans="2:2">
      <c r="B124" s="1"/>
    </row>
    <row r="125" spans="2:2">
      <c r="B125" s="1"/>
    </row>
    <row r="126" spans="2:2">
      <c r="B126" s="1"/>
    </row>
    <row r="127" spans="2:2">
      <c r="B127" s="1"/>
    </row>
    <row r="128" spans="2:2">
      <c r="B128" s="1"/>
    </row>
    <row r="129" spans="2:2">
      <c r="B129" s="1"/>
    </row>
    <row r="130" spans="2:2">
      <c r="B130" s="1"/>
    </row>
    <row r="131" spans="2:2">
      <c r="B131" s="1"/>
    </row>
    <row r="132" spans="2:2">
      <c r="B132" s="1"/>
    </row>
    <row r="133" spans="2:2">
      <c r="B133" s="1"/>
    </row>
    <row r="134" spans="2:2">
      <c r="B134" s="1"/>
    </row>
    <row r="135" spans="2:2">
      <c r="B135" s="1"/>
    </row>
    <row r="136" spans="2:2">
      <c r="B136" s="1"/>
    </row>
    <row r="137" spans="2:2">
      <c r="B137" s="1"/>
    </row>
    <row r="138" spans="2:2">
      <c r="B138" s="1"/>
    </row>
    <row r="139" spans="2:2">
      <c r="B139" s="1"/>
    </row>
    <row r="140" spans="2:2">
      <c r="B140" s="1"/>
    </row>
    <row r="141" spans="2:2">
      <c r="B141" s="1"/>
    </row>
    <row r="142" spans="2:2">
      <c r="B142" s="1"/>
    </row>
    <row r="143" spans="2:2">
      <c r="B143" s="1"/>
    </row>
    <row r="144" spans="2:2">
      <c r="B144" s="1"/>
    </row>
    <row r="145" spans="2:2">
      <c r="B145" s="1"/>
    </row>
    <row r="146" spans="2:2">
      <c r="B146" s="1"/>
    </row>
    <row r="147" spans="2:2">
      <c r="B147" s="1"/>
    </row>
    <row r="148" spans="2:2">
      <c r="B148" s="1"/>
    </row>
    <row r="149" spans="2:2">
      <c r="B149" s="1"/>
    </row>
    <row r="150" spans="2:2">
      <c r="B150" s="1"/>
    </row>
    <row r="151" spans="2:2">
      <c r="B151" s="1"/>
    </row>
    <row r="152" spans="2:2">
      <c r="B152" s="1"/>
    </row>
    <row r="153" spans="2:2">
      <c r="B153" s="1"/>
    </row>
    <row r="154" spans="2:2">
      <c r="B154" s="1"/>
    </row>
    <row r="155" spans="2:2">
      <c r="B155" s="1"/>
    </row>
    <row r="156" spans="2:2">
      <c r="B156" s="1"/>
    </row>
    <row r="157" spans="2:2">
      <c r="B157" s="1"/>
    </row>
    <row r="158" spans="2:2">
      <c r="B158" s="1"/>
    </row>
    <row r="159" spans="2:2">
      <c r="B159" s="1"/>
    </row>
    <row r="160" spans="2:2">
      <c r="B160" s="1"/>
    </row>
    <row r="161" spans="2:2">
      <c r="B161" s="1"/>
    </row>
    <row r="162" spans="2:2">
      <c r="B162" s="1"/>
    </row>
    <row r="163" spans="2:2">
      <c r="B163" s="1"/>
    </row>
    <row r="164" spans="2:2">
      <c r="B164" s="1"/>
    </row>
    <row r="165" spans="2:2">
      <c r="B165" s="1"/>
    </row>
    <row r="166" spans="2:2">
      <c r="B166" s="1"/>
    </row>
    <row r="167" spans="2:2">
      <c r="B167" s="1"/>
    </row>
    <row r="168" spans="2:2">
      <c r="B168" s="1"/>
    </row>
    <row r="169" spans="2:2">
      <c r="B169" s="1"/>
    </row>
    <row r="170" spans="2:2">
      <c r="B170" s="1"/>
    </row>
    <row r="171" spans="2:2">
      <c r="B171" s="1"/>
    </row>
    <row r="172" spans="2:2">
      <c r="B172" s="1"/>
    </row>
    <row r="173" spans="2:2">
      <c r="B173" s="1"/>
    </row>
    <row r="174" spans="2:2">
      <c r="B174" s="1"/>
    </row>
    <row r="175" spans="2:2">
      <c r="B175" s="1"/>
    </row>
    <row r="176" spans="2:2">
      <c r="B176" s="1"/>
    </row>
    <row r="177" spans="2:2">
      <c r="B177" s="1"/>
    </row>
    <row r="178" spans="2:2">
      <c r="B178" s="1"/>
    </row>
    <row r="179" spans="2:2">
      <c r="B179" s="1"/>
    </row>
    <row r="180" spans="2:2">
      <c r="B180" s="1"/>
    </row>
    <row r="181" spans="2:2">
      <c r="B181" s="1"/>
    </row>
    <row r="182" spans="2:2">
      <c r="B182" s="1"/>
    </row>
    <row r="183" spans="2:2">
      <c r="B183" s="1"/>
    </row>
    <row r="184" spans="2:2">
      <c r="B184" s="1"/>
    </row>
    <row r="185" spans="2:2">
      <c r="B185" s="1"/>
    </row>
    <row r="186" spans="2:2">
      <c r="B186" s="1"/>
    </row>
    <row r="187" spans="2:2">
      <c r="B187" s="1"/>
    </row>
    <row r="188" spans="2:2">
      <c r="B188" s="1"/>
    </row>
  </sheetData>
  <mergeCells count="20">
    <mergeCell ref="A1:E1"/>
    <mergeCell ref="G1:H1"/>
    <mergeCell ref="I1:J1"/>
    <mergeCell ref="H4:J4"/>
    <mergeCell ref="H5:J5"/>
    <mergeCell ref="H7:J7"/>
    <mergeCell ref="H8:J8"/>
    <mergeCell ref="G10:I10"/>
    <mergeCell ref="A12:E12"/>
    <mergeCell ref="F19:G19"/>
    <mergeCell ref="F20:G20"/>
    <mergeCell ref="G23:I23"/>
    <mergeCell ref="A13:A14"/>
    <mergeCell ref="A15:A16"/>
    <mergeCell ref="B13:B14"/>
    <mergeCell ref="B15:B16"/>
    <mergeCell ref="C13:E14"/>
    <mergeCell ref="C15:E16"/>
    <mergeCell ref="G2:H3"/>
    <mergeCell ref="I2:J3"/>
  </mergeCells>
  <conditionalFormatting sqref="F20:G20">
    <cfRule type="cellIs" dxfId="0" priority="10" operator="equal">
      <formula>"Untested"</formula>
    </cfRule>
    <cfRule type="cellIs" dxfId="1" priority="11" operator="equal">
      <formula>"Fail"</formula>
    </cfRule>
    <cfRule type="cellIs" dxfId="2" priority="12" operator="equal">
      <formula>"Pass"</formula>
    </cfRule>
    <cfRule type="cellIs" dxfId="3" priority="13" operator="equal">
      <formula>"Pass"</formula>
    </cfRule>
  </conditionalFormatting>
  <conditionalFormatting sqref="D28">
    <cfRule type="cellIs" dxfId="2" priority="4" operator="equal">
      <formula>"Pass"</formula>
    </cfRule>
    <cfRule type="cellIs" dxfId="0" priority="5" operator="equal">
      <formula>"Untested"</formula>
    </cfRule>
    <cfRule type="cellIs" dxfId="1" priority="6" operator="equal">
      <formula>"Fail"</formula>
    </cfRule>
  </conditionalFormatting>
  <conditionalFormatting sqref="D29">
    <cfRule type="cellIs" dxfId="2" priority="1" operator="equal">
      <formula>"Pass"</formula>
    </cfRule>
    <cfRule type="cellIs" dxfId="0" priority="2" operator="equal">
      <formula>"Untested"</formula>
    </cfRule>
    <cfRule type="cellIs" dxfId="1" priority="3" operator="equal">
      <formula>"Fail"</formula>
    </cfRule>
  </conditionalFormatting>
  <conditionalFormatting sqref="D19:D27">
    <cfRule type="cellIs" dxfId="2" priority="7" operator="equal">
      <formula>"Pass"</formula>
    </cfRule>
    <cfRule type="cellIs" dxfId="0" priority="8" operator="equal">
      <formula>"Untested"</formula>
    </cfRule>
    <cfRule type="cellIs" dxfId="1" priority="9" operator="equal">
      <formula>"Fail"</formula>
    </cfRule>
  </conditionalFormatting>
  <pageMargins left="0.699305555555556" right="0.699305555555556" top="0.75" bottom="0.75" header="0.3" footer="0.3"/>
  <pageSetup paperSize="1" scale="59" orientation="landscape"/>
  <headerFooter/>
  <colBreaks count="1" manualBreakCount="1">
    <brk id="15" max="37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O47"/>
  <sheetViews>
    <sheetView tabSelected="1" zoomScale="110" zoomScaleNormal="110" topLeftCell="B1" workbookViewId="0">
      <selection activeCell="B1" sqref="B1"/>
    </sheetView>
  </sheetViews>
  <sheetFormatPr defaultColWidth="9.10619469026549" defaultRowHeight="14.25"/>
  <cols>
    <col min="1" max="1" width="9.10619469026549" style="1" customWidth="1"/>
    <col min="2" max="2" width="18.4424778761062" style="1" customWidth="1"/>
    <col min="3" max="3" width="16.2389380530973" style="1" customWidth="1"/>
    <col min="4" max="4" width="12.3362831858407" style="1" customWidth="1"/>
    <col min="5" max="9" width="11.3362831858407" style="1" customWidth="1"/>
    <col min="10" max="10" width="14.1061946902655" style="1" customWidth="1"/>
    <col min="11" max="16384" width="9.10619469026549" style="1" customWidth="1"/>
  </cols>
  <sheetData>
    <row r="1" ht="31" customHeight="1" spans="1:9">
      <c r="A1" s="2"/>
      <c r="B1" s="3"/>
      <c r="C1" s="3" t="s">
        <v>43</v>
      </c>
      <c r="D1" s="4" t="s">
        <v>44</v>
      </c>
      <c r="E1" s="4" t="s">
        <v>45</v>
      </c>
      <c r="F1" s="4" t="s">
        <v>46</v>
      </c>
      <c r="G1" s="4" t="s">
        <v>47</v>
      </c>
      <c r="H1" s="4" t="s">
        <v>48</v>
      </c>
      <c r="I1" s="41" t="s">
        <v>49</v>
      </c>
    </row>
    <row r="2" ht="27" customHeight="1" spans="1:9">
      <c r="A2" s="5">
        <v>1</v>
      </c>
      <c r="B2" s="6" t="s">
        <v>50</v>
      </c>
      <c r="C2" s="7" t="s">
        <v>51</v>
      </c>
      <c r="D2" s="7"/>
      <c r="E2" s="7"/>
      <c r="F2" s="7"/>
      <c r="G2" s="7"/>
      <c r="H2" s="7"/>
      <c r="I2" s="42"/>
    </row>
    <row r="3" ht="27" customHeight="1" spans="1:9">
      <c r="A3" s="5">
        <v>2</v>
      </c>
      <c r="B3" s="6" t="s">
        <v>52</v>
      </c>
      <c r="C3" s="7" t="s">
        <v>51</v>
      </c>
      <c r="D3" s="7"/>
      <c r="E3" s="7"/>
      <c r="F3" s="7"/>
      <c r="G3" s="7"/>
      <c r="H3" s="7"/>
      <c r="I3" s="42"/>
    </row>
    <row r="4" ht="27" customHeight="1" spans="1:9">
      <c r="A4" s="5">
        <v>3</v>
      </c>
      <c r="B4" s="6" t="s">
        <v>53</v>
      </c>
      <c r="C4" s="7" t="s">
        <v>51</v>
      </c>
      <c r="D4" s="6"/>
      <c r="E4" s="6"/>
      <c r="F4" s="6"/>
      <c r="G4" s="6"/>
      <c r="H4" s="6"/>
      <c r="I4" s="6"/>
    </row>
    <row r="5" ht="32.25" customHeight="1" spans="1:9">
      <c r="A5" s="5">
        <v>4</v>
      </c>
      <c r="B5" s="6" t="s">
        <v>54</v>
      </c>
      <c r="C5" s="7" t="s">
        <v>55</v>
      </c>
      <c r="D5" s="8"/>
      <c r="E5" s="8"/>
      <c r="F5" s="8"/>
      <c r="G5" s="8"/>
      <c r="H5" s="8"/>
      <c r="I5" s="43"/>
    </row>
    <row r="6" spans="1:9">
      <c r="A6" s="5">
        <v>5</v>
      </c>
      <c r="B6" s="6" t="s">
        <v>56</v>
      </c>
      <c r="C6" s="7" t="s">
        <v>57</v>
      </c>
      <c r="D6" s="8"/>
      <c r="E6" s="8"/>
      <c r="F6" s="8"/>
      <c r="G6" s="8"/>
      <c r="H6" s="8"/>
      <c r="I6" s="43"/>
    </row>
    <row r="7" spans="1:9">
      <c r="A7" s="5">
        <v>6</v>
      </c>
      <c r="B7" s="6" t="s">
        <v>58</v>
      </c>
      <c r="C7" s="7" t="s">
        <v>51</v>
      </c>
      <c r="D7" s="8"/>
      <c r="E7" s="8"/>
      <c r="F7" s="8"/>
      <c r="G7" s="8"/>
      <c r="H7" s="8"/>
      <c r="I7" s="43"/>
    </row>
    <row r="8" spans="1:9">
      <c r="A8" s="5">
        <v>7</v>
      </c>
      <c r="B8" s="6" t="s">
        <v>59</v>
      </c>
      <c r="C8" s="7" t="s">
        <v>60</v>
      </c>
      <c r="D8" s="9"/>
      <c r="E8" s="9"/>
      <c r="F8" s="9"/>
      <c r="G8" s="9"/>
      <c r="H8" s="9"/>
      <c r="I8" s="44"/>
    </row>
    <row r="9" ht="30.75" customHeight="1" spans="1:9">
      <c r="A9" s="5">
        <v>8</v>
      </c>
      <c r="B9" s="10" t="s">
        <v>61</v>
      </c>
      <c r="C9" s="7">
        <v>0.0029</v>
      </c>
      <c r="D9" s="7">
        <v>0.0029</v>
      </c>
      <c r="E9" s="7">
        <v>0.0029</v>
      </c>
      <c r="F9" s="7">
        <v>0.0029</v>
      </c>
      <c r="G9" s="7">
        <v>0.0029</v>
      </c>
      <c r="H9" s="7">
        <v>0.0029</v>
      </c>
      <c r="I9" s="7">
        <v>0.0029</v>
      </c>
    </row>
    <row r="10" ht="30.75" customHeight="1" spans="1:9">
      <c r="A10" s="5">
        <v>9</v>
      </c>
      <c r="B10" s="6" t="s">
        <v>62</v>
      </c>
      <c r="C10" s="7">
        <v>-65.52</v>
      </c>
      <c r="D10" s="7">
        <v>-65.52</v>
      </c>
      <c r="E10" s="7">
        <v>-65.52</v>
      </c>
      <c r="F10" s="7">
        <v>-65.52</v>
      </c>
      <c r="G10" s="7">
        <v>-65.52</v>
      </c>
      <c r="H10" s="7">
        <v>-65.52</v>
      </c>
      <c r="I10" s="7">
        <v>-65.52</v>
      </c>
    </row>
    <row r="11" ht="29" customHeight="1" spans="1:9">
      <c r="A11" s="5">
        <v>10</v>
      </c>
      <c r="B11" s="6" t="s">
        <v>63</v>
      </c>
      <c r="C11" s="7">
        <v>0.0305327</v>
      </c>
      <c r="D11" s="7">
        <v>0.0305327</v>
      </c>
      <c r="E11" s="7">
        <v>0.0305327</v>
      </c>
      <c r="F11" s="7">
        <v>0.0305327</v>
      </c>
      <c r="G11" s="7">
        <v>0.0305327</v>
      </c>
      <c r="H11" s="7">
        <v>0.0305327</v>
      </c>
      <c r="I11" s="7">
        <v>0.0305327</v>
      </c>
    </row>
    <row r="12" ht="30.75" customHeight="1" spans="1:9">
      <c r="A12" s="5">
        <v>11</v>
      </c>
      <c r="B12" s="6" t="s">
        <v>64</v>
      </c>
      <c r="C12" s="7">
        <v>-0.00012</v>
      </c>
      <c r="D12" s="7">
        <v>-0.00012</v>
      </c>
      <c r="E12" s="7">
        <v>-0.00012</v>
      </c>
      <c r="F12" s="7">
        <v>-0.00012</v>
      </c>
      <c r="G12" s="7">
        <v>-0.00012</v>
      </c>
      <c r="H12" s="7">
        <v>-0.00012</v>
      </c>
      <c r="I12" s="7">
        <v>-0.00012</v>
      </c>
    </row>
    <row r="13" ht="30.75" customHeight="1" spans="1:9">
      <c r="A13" s="5">
        <v>12</v>
      </c>
      <c r="B13" s="6" t="s">
        <v>65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</row>
    <row r="14" ht="30.75" customHeight="1" spans="1:9">
      <c r="A14" s="5">
        <v>13</v>
      </c>
      <c r="B14" s="6" t="s">
        <v>66</v>
      </c>
      <c r="C14" s="7">
        <v>0.65019</v>
      </c>
      <c r="D14" s="7">
        <v>0.65019</v>
      </c>
      <c r="E14" s="7">
        <v>0.65019</v>
      </c>
      <c r="F14" s="7">
        <v>0.65019</v>
      </c>
      <c r="G14" s="7">
        <v>0.65019</v>
      </c>
      <c r="H14" s="7">
        <v>0.65019</v>
      </c>
      <c r="I14" s="7">
        <v>0.65019</v>
      </c>
    </row>
    <row r="15" ht="30.75" customHeight="1" spans="1:9">
      <c r="A15" s="5">
        <v>14</v>
      </c>
      <c r="B15" s="6" t="s">
        <v>67</v>
      </c>
      <c r="C15" s="7">
        <v>2.6</v>
      </c>
      <c r="D15" s="7">
        <v>2.6</v>
      </c>
      <c r="E15" s="7">
        <v>2.6</v>
      </c>
      <c r="F15" s="7">
        <v>2.6</v>
      </c>
      <c r="G15" s="7">
        <v>2.6</v>
      </c>
      <c r="H15" s="7">
        <v>2.6</v>
      </c>
      <c r="I15" s="7">
        <v>2.6</v>
      </c>
    </row>
    <row r="16" ht="30.75" customHeight="1" spans="1:9">
      <c r="A16" s="5">
        <v>15</v>
      </c>
      <c r="B16" s="6" t="s">
        <v>68</v>
      </c>
      <c r="C16" s="7" t="s">
        <v>69</v>
      </c>
      <c r="D16" s="8"/>
      <c r="E16" s="8"/>
      <c r="F16" s="8"/>
      <c r="G16" s="8"/>
      <c r="H16" s="8"/>
      <c r="I16" s="43"/>
    </row>
    <row r="17" ht="29" customHeight="1" spans="1:9">
      <c r="A17" s="5">
        <v>16</v>
      </c>
      <c r="B17" s="6" t="s">
        <v>70</v>
      </c>
      <c r="C17" s="11">
        <v>21.7</v>
      </c>
      <c r="D17" s="12"/>
      <c r="E17" s="12"/>
      <c r="F17" s="12"/>
      <c r="G17" s="12"/>
      <c r="H17" s="12"/>
      <c r="I17" s="45"/>
    </row>
    <row r="18" ht="44.25" customHeight="1" spans="1:9">
      <c r="A18" s="13">
        <v>17</v>
      </c>
      <c r="B18" s="14" t="s">
        <v>71</v>
      </c>
      <c r="C18" s="15" t="s">
        <v>72</v>
      </c>
      <c r="D18" s="16"/>
      <c r="E18" s="16"/>
      <c r="F18" s="16"/>
      <c r="G18" s="16"/>
      <c r="H18" s="16"/>
      <c r="I18" s="46"/>
    </row>
    <row r="20" ht="15.25" customHeight="1"/>
    <row r="21" ht="15.5" customHeight="1" spans="2:10">
      <c r="B21" s="17"/>
      <c r="C21" s="3" t="s">
        <v>20</v>
      </c>
      <c r="D21" s="18" t="s">
        <v>73</v>
      </c>
      <c r="E21" s="4" t="s">
        <v>44</v>
      </c>
      <c r="F21" s="4" t="s">
        <v>45</v>
      </c>
      <c r="G21" s="4" t="s">
        <v>46</v>
      </c>
      <c r="H21" s="4" t="s">
        <v>47</v>
      </c>
      <c r="I21" s="4" t="s">
        <v>48</v>
      </c>
      <c r="J21" s="41" t="s">
        <v>49</v>
      </c>
    </row>
    <row r="22" spans="1:15">
      <c r="A22" s="1">
        <v>18</v>
      </c>
      <c r="B22" s="19" t="s">
        <v>74</v>
      </c>
      <c r="C22" s="7">
        <v>13800</v>
      </c>
      <c r="D22" s="7"/>
      <c r="E22" s="8"/>
      <c r="F22" s="8"/>
      <c r="G22" s="8"/>
      <c r="H22" s="8"/>
      <c r="I22" s="8"/>
      <c r="J22" s="8"/>
      <c r="O22" s="47"/>
    </row>
    <row r="23" spans="1:10">
      <c r="A23" s="1">
        <v>19</v>
      </c>
      <c r="B23" s="19" t="s">
        <v>75</v>
      </c>
      <c r="C23" s="7">
        <v>120</v>
      </c>
      <c r="D23" s="7"/>
      <c r="E23" s="8"/>
      <c r="F23" s="8"/>
      <c r="G23" s="8"/>
      <c r="H23" s="8"/>
      <c r="I23" s="8"/>
      <c r="J23" s="8"/>
    </row>
    <row r="24" spans="1:10">
      <c r="A24" s="1">
        <v>20</v>
      </c>
      <c r="B24" s="19" t="s">
        <v>76</v>
      </c>
      <c r="C24" s="7" t="s">
        <v>77</v>
      </c>
      <c r="D24" s="7"/>
      <c r="E24" s="8"/>
      <c r="F24" s="8"/>
      <c r="G24" s="8"/>
      <c r="H24" s="8"/>
      <c r="I24" s="8"/>
      <c r="J24" s="43"/>
    </row>
    <row r="25" ht="18" customHeight="1" spans="1:10">
      <c r="A25" s="1">
        <v>21</v>
      </c>
      <c r="B25" s="20" t="s">
        <v>78</v>
      </c>
      <c r="C25" s="21">
        <v>1490400</v>
      </c>
      <c r="D25" s="21"/>
      <c r="E25" s="22"/>
      <c r="F25" s="22"/>
      <c r="G25" s="22"/>
      <c r="H25" s="22"/>
      <c r="I25" s="22"/>
      <c r="J25" s="22"/>
    </row>
    <row r="26" ht="15.25" customHeight="1" spans="1:10">
      <c r="A26" s="1">
        <v>22</v>
      </c>
      <c r="B26" s="20" t="s">
        <v>79</v>
      </c>
      <c r="C26" s="21" t="s">
        <v>22</v>
      </c>
      <c r="D26" s="21" t="s">
        <v>51</v>
      </c>
      <c r="E26" s="23" t="str">
        <f>IF(OR(E22="",E23="",E25=""),"Untested",IF(AND(E22&gt;(0.999*$C$22),E22&lt;(1.001*$C$22),E23&gt;(0.999*$C$23),E23&lt;(1.001*$C$23),E25&gt;(0.995*$C$25),E25&lt;(1.005*$C$25)),"Pass","Fail"))</f>
        <v>Untested</v>
      </c>
      <c r="F26" s="23" t="str">
        <f>IF(OR(F22="",F23="",F25=""),"Untested",IF(AND(F22&gt;(0.999*$C$22),F22&lt;(1.001*$C$22),F23&gt;(0.999*$C$23),F23&lt;(1.001*$C$23),F25&gt;(0.995*$C$25),F25&lt;(1.005*$C$25)),"Pass","Fail"))</f>
        <v>Untested</v>
      </c>
      <c r="G26" s="23" t="str">
        <f>IF(OR(G22="",G23="",G25=""),"Untested",IF(AND(G22&gt;(0.999*$C$22),G22&lt;(1.001*$C$22),G23&gt;(0.999*$C$23),G23&lt;(1.001*$C$23),G25&gt;(0.995*$C$25),G25&lt;(1.005*$C$25)),"Pass","Fail"))</f>
        <v>Untested</v>
      </c>
      <c r="H26" s="23" t="str">
        <f>IF(OR(H22="",H23="",H25=""),"Untested",IF(AND(H22&gt;(0.999*$C$22),H22&lt;(1.001*$C$22),H23&gt;(0.999*$C$23),H23&lt;(1.001*$C$23),H25&gt;(0.995*$C$25),H25&lt;(1.005*$C$25)),"Pass","Fail"))</f>
        <v>Untested</v>
      </c>
      <c r="I26" s="23" t="str">
        <f>IF(OR(I22="",I23="",I25=""),"Untested",IF(AND(I22&gt;(0.999*$C$22),I22&lt;(1.001*$C$22),I23&gt;(0.999*$C$23),I23&lt;(1.001*$C$23),I25&gt;(0.995*$C$25),I25&lt;(1.005*$C$25)),"Pass","Fail"))</f>
        <v>Untested</v>
      </c>
      <c r="J26" s="23" t="str">
        <f>IF(OR(J22="",J23="",J25=""),"Untested",IF(AND(J22&gt;(0.999*$C$22),J22&lt;(1.001*$C$22),J23&gt;(0.999*$C$23),J23&lt;(1.001*$C$23),J25&gt;(0.995*$C$25),J25&lt;(1.005*$C$25)),"Pass","Fail"))</f>
        <v>Untested</v>
      </c>
    </row>
    <row r="27" ht="15.25" customHeight="1" spans="1:10">
      <c r="A27" s="1">
        <v>23</v>
      </c>
      <c r="B27" s="19" t="s">
        <v>74</v>
      </c>
      <c r="C27" s="24">
        <v>7200</v>
      </c>
      <c r="D27" s="24"/>
      <c r="E27" s="25"/>
      <c r="F27" s="25"/>
      <c r="G27" s="25"/>
      <c r="H27" s="25"/>
      <c r="I27" s="25"/>
      <c r="J27" s="25"/>
    </row>
    <row r="28" spans="1:10">
      <c r="A28" s="1">
        <v>24</v>
      </c>
      <c r="B28" s="19" t="s">
        <v>75</v>
      </c>
      <c r="C28" s="7">
        <v>60</v>
      </c>
      <c r="D28" s="7"/>
      <c r="E28" s="8"/>
      <c r="F28" s="8"/>
      <c r="G28" s="8"/>
      <c r="H28" s="8"/>
      <c r="I28" s="8"/>
      <c r="J28" s="8"/>
    </row>
    <row r="29" spans="1:10">
      <c r="A29" s="1">
        <v>25</v>
      </c>
      <c r="B29" s="19" t="s">
        <v>76</v>
      </c>
      <c r="C29" s="7">
        <v>0.9</v>
      </c>
      <c r="D29" s="7"/>
      <c r="E29" s="8"/>
      <c r="F29" s="8"/>
      <c r="G29" s="8"/>
      <c r="H29" s="8"/>
      <c r="I29" s="8"/>
      <c r="J29" s="8"/>
    </row>
    <row r="30" ht="15.25" customHeight="1" spans="1:10">
      <c r="A30" s="1">
        <v>26</v>
      </c>
      <c r="B30" s="20" t="s">
        <v>78</v>
      </c>
      <c r="C30" s="21">
        <v>388800</v>
      </c>
      <c r="D30" s="21"/>
      <c r="E30" s="26"/>
      <c r="F30" s="26"/>
      <c r="G30" s="26"/>
      <c r="H30" s="26"/>
      <c r="I30" s="26"/>
      <c r="J30" s="26"/>
    </row>
    <row r="31" ht="16" customHeight="1" spans="1:10">
      <c r="A31" s="1">
        <v>27</v>
      </c>
      <c r="B31" s="27" t="s">
        <v>79</v>
      </c>
      <c r="C31" s="15" t="s">
        <v>22</v>
      </c>
      <c r="D31" s="28" t="s">
        <v>51</v>
      </c>
      <c r="E31" s="23" t="str">
        <f>IF(OR(E27="",E28="",E30=""),"Untested",IF(AND(E27&gt;(0.999*$C$27),E27&lt;(1.001*$C$27),E28&gt;(0.999*$C$28),E28&lt;(1.001*$C$28),E30&gt;(0.995*$C$30),E30&lt;(1.005*$C$30)),"Pass","Fail"))</f>
        <v>Untested</v>
      </c>
      <c r="F31" s="23" t="str">
        <f>IF(OR(F27="",F28="",F30=""),"Untested",IF(AND(F27&gt;(0.999*$C$27),F27&lt;(1.001*$C$27),F28&gt;(0.999*$C$28),F28&lt;(1.001*$C$28),F30&gt;(0.995*$C$30),F30&lt;(1.005*$C$30)),"Pass","Fail"))</f>
        <v>Untested</v>
      </c>
      <c r="G31" s="23" t="str">
        <f>IF(OR(G27="",G28="",G30=""),"Untested",IF(AND(G27&gt;(0.999*$C$27),G27&lt;(1.001*$C$27),G28&gt;(0.999*$C$28),G28&lt;(1.001*$C$28),G30&gt;(0.995*$C$30),G30&lt;(1.005*$C$30)),"Pass","Fail"))</f>
        <v>Untested</v>
      </c>
      <c r="H31" s="23" t="str">
        <f>IF(OR(H27="",H28="",H30=""),"Untested",IF(AND(H27&gt;(0.999*$C$27),H27&lt;(1.001*$C$27),H28&gt;(0.999*$C$28),H28&lt;(1.001*$C$28),H30&gt;(0.995*$C$30),H30&lt;(1.005*$C$30)),"Pass","Fail"))</f>
        <v>Untested</v>
      </c>
      <c r="I31" s="23" t="str">
        <f>IF(OR(I27="",I28="",I30=""),"Untested",IF(AND(I27&gt;(0.999*$C$27),I27&lt;(1.001*$C$27),I28&gt;(0.999*$C$28),I28&lt;(1.001*$C$28),I30&gt;(0.995*$C$30),I30&lt;(1.005*$C$30)),"Pass","Fail"))</f>
        <v>Untested</v>
      </c>
      <c r="J31" s="23" t="str">
        <f>IF(OR(J27="",J28="",J30=""),"Untested",IF(AND(J27&gt;(0.999*$C$27),J27&lt;(1.001*$C$27),J28&gt;(0.999*$C$28),J28&lt;(1.001*$C$28),J30&gt;(0.995*$C$30),J30&lt;(1.005*$C$30)),"Pass","Fail"))</f>
        <v>Untested</v>
      </c>
    </row>
    <row r="32" ht="15.25" customHeight="1" spans="2:2">
      <c r="B32" s="29"/>
    </row>
    <row r="33" ht="15.5" customHeight="1" spans="2:9">
      <c r="B33" s="30"/>
      <c r="C33" s="3" t="s">
        <v>20</v>
      </c>
      <c r="D33" s="4" t="s">
        <v>44</v>
      </c>
      <c r="E33" s="4" t="s">
        <v>45</v>
      </c>
      <c r="F33" s="4" t="s">
        <v>46</v>
      </c>
      <c r="G33" s="4" t="s">
        <v>47</v>
      </c>
      <c r="H33" s="4" t="s">
        <v>48</v>
      </c>
      <c r="I33" s="41" t="s">
        <v>49</v>
      </c>
    </row>
    <row r="34" spans="1:9">
      <c r="A34" s="1">
        <v>28</v>
      </c>
      <c r="B34" s="19" t="s">
        <v>80</v>
      </c>
      <c r="C34" s="7">
        <v>0.025</v>
      </c>
      <c r="D34" s="8"/>
      <c r="E34" s="8"/>
      <c r="F34" s="8"/>
      <c r="G34" s="8"/>
      <c r="H34" s="8"/>
      <c r="I34" s="8"/>
    </row>
    <row r="35" spans="1:9">
      <c r="A35" s="1">
        <v>29</v>
      </c>
      <c r="B35" s="19" t="s">
        <v>81</v>
      </c>
      <c r="C35" s="7">
        <v>1.5</v>
      </c>
      <c r="D35" s="8"/>
      <c r="E35" s="8"/>
      <c r="F35" s="8"/>
      <c r="G35" s="8"/>
      <c r="H35" s="8"/>
      <c r="I35" s="8"/>
    </row>
    <row r="36" ht="21" customHeight="1" spans="1:9">
      <c r="A36" s="1">
        <v>30</v>
      </c>
      <c r="B36" s="19" t="s">
        <v>82</v>
      </c>
      <c r="C36" s="7" t="s">
        <v>83</v>
      </c>
      <c r="D36" s="8"/>
      <c r="E36" s="8"/>
      <c r="F36" s="8"/>
      <c r="G36" s="8"/>
      <c r="H36" s="8"/>
      <c r="I36" s="8"/>
    </row>
    <row r="37" spans="1:9">
      <c r="A37" s="1">
        <v>31</v>
      </c>
      <c r="B37" s="19" t="s">
        <v>79</v>
      </c>
      <c r="C37" s="7" t="s">
        <v>22</v>
      </c>
      <c r="D37" s="31" t="str">
        <f>IF(OR(D34="",D35="",D36=""),"Untested",IF(AND(D34&gt;(0.95*$C$34),D34&lt;(1.05*$C$34),D35&gt;(0.8*$C$35),D35&lt;(1.2*$C$35),D36&gt;-45,D36&lt;45),"Pass","Fail"))</f>
        <v>Untested</v>
      </c>
      <c r="E37" s="31" t="str">
        <f>IF(OR(E34="",E35="",E36=""),"Untested",IF(AND(E34&gt;(0.95*$C$34),E34&lt;(1.05*$C$34),E35&gt;(0.8*$C$35),E35&lt;(1.2*$C$35),E36&gt;-45,E36&lt;45),"Pass","Fail"))</f>
        <v>Untested</v>
      </c>
      <c r="F37" s="31" t="str">
        <f>IF(OR(F34="",F35="",F36=""),"Untested",IF(AND(F34&gt;(0.95*$C$34),F34&lt;(1.05*$C$34),F35&gt;(0.8*$C$35),F35&lt;(1.2*$C$35),F36&gt;-45,F36&lt;45),"Pass","Fail"))</f>
        <v>Untested</v>
      </c>
      <c r="G37" s="31" t="str">
        <f>IF(OR(G34="",G35="",G36=""),"Untested",IF(AND(G34&gt;(0.95*$C$34),G34&lt;(1.05*$C$34),G35&gt;(0.8*$C$35),G35&lt;(1.2*$C$35),G36&gt;-45,G36&lt;45),"Pass","Fail"))</f>
        <v>Untested</v>
      </c>
      <c r="H37" s="31" t="str">
        <f>IF(OR(H34="",H35="",H36=""),"Untested",IF(AND(H34&gt;(0.95*$C$34),H34&lt;(1.05*$C$34),H35&gt;(0.8*$C$35),H35&lt;(1.2*$C$35),H36&gt;-45,H36&lt;45),"Pass","Fail"))</f>
        <v>Untested</v>
      </c>
      <c r="I37" s="31" t="str">
        <f>IF(OR(I34="",I35="",I36=""),"Untested",IF(AND(I34&gt;(0.95*$C$34),I34&lt;(1.05*$C$34),I35&gt;(0.8*$C$35),I35&lt;(1.2*$C$35),I36&gt;-45,I36&lt;45),"Pass","Fail"))</f>
        <v>Untested</v>
      </c>
    </row>
    <row r="38" ht="30" customHeight="1" spans="1:9">
      <c r="A38" s="1">
        <v>32</v>
      </c>
      <c r="B38" s="19" t="s">
        <v>84</v>
      </c>
      <c r="C38" s="7" t="s">
        <v>22</v>
      </c>
      <c r="D38" s="8"/>
      <c r="E38" s="8"/>
      <c r="F38" s="8"/>
      <c r="G38" s="8"/>
      <c r="H38" s="8"/>
      <c r="I38" s="8"/>
    </row>
    <row r="39" ht="15.25" customHeight="1" spans="1:9">
      <c r="A39" s="1">
        <v>33</v>
      </c>
      <c r="B39" s="32" t="s">
        <v>79</v>
      </c>
      <c r="C39" s="7" t="s">
        <v>22</v>
      </c>
      <c r="D39" s="31" t="str">
        <f t="shared" ref="D39:I39" si="0">IF(OR(D38=""),"Untested",IF(D38="Pass","Pass","Fail"))</f>
        <v>Untested</v>
      </c>
      <c r="E39" s="31" t="str">
        <f t="shared" si="0"/>
        <v>Untested</v>
      </c>
      <c r="F39" s="31" t="str">
        <f t="shared" si="0"/>
        <v>Untested</v>
      </c>
      <c r="G39" s="31" t="str">
        <f t="shared" si="0"/>
        <v>Untested</v>
      </c>
      <c r="H39" s="31" t="str">
        <f t="shared" si="0"/>
        <v>Untested</v>
      </c>
      <c r="I39" s="31" t="str">
        <f t="shared" si="0"/>
        <v>Untested</v>
      </c>
    </row>
    <row r="41" ht="15.25" customHeight="1"/>
    <row r="42" ht="25.5" customHeight="1" spans="2:11">
      <c r="B42" s="33" t="s">
        <v>85</v>
      </c>
      <c r="C42" s="34"/>
      <c r="E42" s="35" t="s">
        <v>8</v>
      </c>
      <c r="F42" s="36"/>
      <c r="G42" s="36"/>
      <c r="H42" s="34"/>
      <c r="I42" s="33" t="s">
        <v>9</v>
      </c>
      <c r="J42" s="36"/>
      <c r="K42" s="34"/>
    </row>
    <row r="43" ht="31.5" customHeight="1" spans="1:11">
      <c r="A43" s="1">
        <v>34</v>
      </c>
      <c r="B43" s="1" t="s">
        <v>86</v>
      </c>
      <c r="C43"/>
      <c r="E43" s="37"/>
      <c r="F43" s="38"/>
      <c r="G43" s="38"/>
      <c r="H43" s="39"/>
      <c r="I43" s="48"/>
      <c r="J43" s="38"/>
      <c r="K43" s="49"/>
    </row>
    <row r="44" ht="23.25" customHeight="1" spans="1:11">
      <c r="A44" s="1">
        <v>35</v>
      </c>
      <c r="B44" s="1" t="s">
        <v>87</v>
      </c>
      <c r="C44"/>
      <c r="E44" s="40"/>
      <c r="F44" s="40"/>
      <c r="G44" s="40"/>
      <c r="H44" s="40"/>
      <c r="I44" s="40"/>
      <c r="J44" s="40"/>
      <c r="K44" s="40"/>
    </row>
    <row r="45" ht="24" customHeight="1" spans="1:11">
      <c r="A45" s="1">
        <v>36</v>
      </c>
      <c r="B45" s="1" t="s">
        <v>88</v>
      </c>
      <c r="C45"/>
      <c r="E45" s="35" t="s">
        <v>10</v>
      </c>
      <c r="F45" s="36"/>
      <c r="G45" s="36"/>
      <c r="H45" s="34"/>
      <c r="I45" s="33" t="s">
        <v>9</v>
      </c>
      <c r="J45" s="36"/>
      <c r="K45" s="34"/>
    </row>
    <row r="46" ht="32.25" customHeight="1" spans="5:11">
      <c r="E46" s="37"/>
      <c r="F46" s="38"/>
      <c r="G46" s="38"/>
      <c r="H46" s="39"/>
      <c r="I46" s="50"/>
      <c r="J46" s="38"/>
      <c r="K46" s="49"/>
    </row>
    <row r="47" ht="15.25" customHeight="1"/>
  </sheetData>
  <sheetProtection password="CA9C" sheet="1" objects="1"/>
  <mergeCells count="9">
    <mergeCell ref="B42:C42"/>
    <mergeCell ref="E42:H42"/>
    <mergeCell ref="I42:K42"/>
    <mergeCell ref="E43:H43"/>
    <mergeCell ref="I43:K43"/>
    <mergeCell ref="E45:H45"/>
    <mergeCell ref="I45:K45"/>
    <mergeCell ref="E46:H46"/>
    <mergeCell ref="I46:K46"/>
  </mergeCells>
  <conditionalFormatting sqref="D4">
    <cfRule type="expression" dxfId="4" priority="581">
      <formula>$E$26="Fail"</formula>
    </cfRule>
    <cfRule type="expression" dxfId="4" priority="582">
      <formula>$E$31="Fail"</formula>
    </cfRule>
    <cfRule type="expression" dxfId="4" priority="583">
      <formula>$D$37="Fail"</formula>
    </cfRule>
    <cfRule type="expression" dxfId="4" priority="584">
      <formula>$D$39="Fail"</formula>
    </cfRule>
    <cfRule type="expression" dxfId="4" priority="579">
      <formula>$D$7="Fail"</formula>
    </cfRule>
    <cfRule type="expression" dxfId="4" priority="580">
      <formula>$D$8&lt;=-75</formula>
    </cfRule>
    <cfRule type="expression" dxfId="4" priority="578">
      <formula>$D$18="Fail"</formula>
    </cfRule>
    <cfRule type="expression" dxfId="4" priority="576">
      <formula>$D$16="Fail"</formula>
    </cfRule>
    <cfRule type="expression" dxfId="4" priority="574">
      <formula>$D$17&lt;-100</formula>
    </cfRule>
    <cfRule type="expression" dxfId="4" priority="572">
      <formula>AND(ABS($D$17-$C$17)&gt;15,$D$17&lt;&gt;"")</formula>
    </cfRule>
    <cfRule type="expression" dxfId="4" priority="571">
      <formula>AND($D$6&lt;&gt;"0x75",$D$6&lt;&gt;"")</formula>
    </cfRule>
    <cfRule type="expression" dxfId="4" priority="570">
      <formula>$D$5="Fail"</formula>
    </cfRule>
  </conditionalFormatting>
  <conditionalFormatting sqref="E4">
    <cfRule type="expression" dxfId="4" priority="569">
      <formula>$E$39="Fail"</formula>
    </cfRule>
    <cfRule type="expression" dxfId="4" priority="568">
      <formula>$E$37="Fail"</formula>
    </cfRule>
    <cfRule type="expression" dxfId="4" priority="567">
      <formula>$F$31="Fail"</formula>
    </cfRule>
    <cfRule type="expression" dxfId="4" priority="566">
      <formula>$F$26="Fail"</formula>
    </cfRule>
    <cfRule type="expression" dxfId="4" priority="565">
      <formula>$E$8&lt;=-75</formula>
    </cfRule>
    <cfRule type="expression" dxfId="4" priority="564">
      <formula>$E$7="Fail"</formula>
    </cfRule>
    <cfRule type="expression" dxfId="4" priority="563">
      <formula>$E$18="Fail"</formula>
    </cfRule>
    <cfRule type="expression" dxfId="4" priority="562">
      <formula>$E$16="Fail"</formula>
    </cfRule>
    <cfRule type="expression" dxfId="4" priority="561">
      <formula>$E$17&lt;-100</formula>
    </cfRule>
    <cfRule type="expression" dxfId="4" priority="560">
      <formula>AND(ABS($E$17-$C$17)&gt;15,$E17&lt;&gt;"")</formula>
    </cfRule>
    <cfRule type="expression" dxfId="4" priority="559">
      <formula>AND($E$6&lt;&gt;"0x75",$E$6&lt;&gt;"")</formula>
    </cfRule>
    <cfRule type="expression" dxfId="4" priority="558">
      <formula>$E$5="Fail"</formula>
    </cfRule>
  </conditionalFormatting>
  <conditionalFormatting sqref="F4">
    <cfRule type="expression" dxfId="4" priority="557">
      <formula>$F$39="Fail"</formula>
    </cfRule>
    <cfRule type="expression" dxfId="4" priority="556">
      <formula>$F$37="Fail"</formula>
    </cfRule>
    <cfRule type="expression" dxfId="4" priority="555">
      <formula>$G$31="Fail"</formula>
    </cfRule>
    <cfRule type="expression" dxfId="4" priority="554">
      <formula>$G$26="Fail"</formula>
    </cfRule>
    <cfRule type="expression" dxfId="4" priority="553">
      <formula>$F$8&lt;=-75</formula>
    </cfRule>
    <cfRule type="expression" dxfId="4" priority="552">
      <formula>$F$7="Fail"</formula>
    </cfRule>
    <cfRule type="expression" dxfId="4" priority="551">
      <formula>$F$18="Fail"</formula>
    </cfRule>
    <cfRule type="expression" dxfId="4" priority="550">
      <formula>$F$16="Fail"</formula>
    </cfRule>
    <cfRule type="expression" dxfId="4" priority="549">
      <formula>$F$17&lt;-100</formula>
    </cfRule>
    <cfRule type="expression" dxfId="4" priority="548">
      <formula>AND(ABS($F$17-$C$17)&gt;15,$F$17&lt;&gt;"")</formula>
    </cfRule>
    <cfRule type="expression" dxfId="4" priority="547">
      <formula>AND($F$6&lt;&gt;"0x75",$F$6&lt;&gt;"")</formula>
    </cfRule>
    <cfRule type="expression" dxfId="4" priority="546">
      <formula>$F$5="Fail"</formula>
    </cfRule>
  </conditionalFormatting>
  <conditionalFormatting sqref="G4">
    <cfRule type="expression" dxfId="4" priority="497">
      <formula>$G$39="Fail"</formula>
    </cfRule>
    <cfRule type="expression" dxfId="4" priority="496">
      <formula>$G$37="Fail"</formula>
    </cfRule>
    <cfRule type="expression" dxfId="4" priority="495">
      <formula>$H$31="Fail"</formula>
    </cfRule>
    <cfRule type="expression" dxfId="4" priority="494">
      <formula>$H$26="Fail"</formula>
    </cfRule>
    <cfRule type="expression" dxfId="4" priority="493">
      <formula>$G$8&lt;=-75</formula>
    </cfRule>
    <cfRule type="expression" dxfId="4" priority="492">
      <formula>$G$7="Fail"</formula>
    </cfRule>
    <cfRule type="expression" dxfId="4" priority="491">
      <formula>$G$18="Fail"</formula>
    </cfRule>
    <cfRule type="expression" dxfId="4" priority="490">
      <formula>$G$16="Fail"</formula>
    </cfRule>
    <cfRule type="expression" dxfId="4" priority="489">
      <formula>$G$17&lt;-100</formula>
    </cfRule>
    <cfRule type="expression" dxfId="4" priority="488">
      <formula>AND(ABS($G$17-$C$17)&gt;15,$G$17&lt;&gt;"")</formula>
    </cfRule>
    <cfRule type="expression" dxfId="4" priority="487">
      <formula>AND($G$6&lt;&gt;"0x75",$G$6&lt;&gt;"")</formula>
    </cfRule>
    <cfRule type="expression" dxfId="4" priority="486">
      <formula>$G$5="Fail"</formula>
    </cfRule>
  </conditionalFormatting>
  <conditionalFormatting sqref="H4">
    <cfRule type="expression" dxfId="4" priority="485">
      <formula>$H$39="Fail"</formula>
    </cfRule>
    <cfRule type="expression" dxfId="4" priority="484">
      <formula>$H$37="Fail"</formula>
    </cfRule>
    <cfRule type="expression" dxfId="4" priority="483">
      <formula>$I$31="Fail"</formula>
    </cfRule>
    <cfRule type="expression" dxfId="4" priority="482">
      <formula>$I$26="Fail"</formula>
    </cfRule>
    <cfRule type="expression" dxfId="4" priority="481">
      <formula>$H$8&lt;=-75</formula>
    </cfRule>
    <cfRule type="expression" dxfId="4" priority="480">
      <formula>$H$7="Fail"</formula>
    </cfRule>
    <cfRule type="expression" dxfId="4" priority="479">
      <formula>$H$18="Fail"</formula>
    </cfRule>
    <cfRule type="expression" dxfId="4" priority="478">
      <formula>$H$16="Fail"</formula>
    </cfRule>
    <cfRule type="expression" dxfId="4" priority="477">
      <formula>$H$17&lt;-100</formula>
    </cfRule>
    <cfRule type="expression" dxfId="4" priority="476">
      <formula>AND(ABS($H$17-$C$17)&gt;15,$H$17&lt;&gt;"")</formula>
    </cfRule>
    <cfRule type="expression" dxfId="4" priority="475">
      <formula>AND($H$6&lt;&gt;"0x75",$H$6&lt;&gt;"")</formula>
    </cfRule>
    <cfRule type="expression" dxfId="4" priority="474">
      <formula>$H$5="Fail"</formula>
    </cfRule>
  </conditionalFormatting>
  <conditionalFormatting sqref="I4">
    <cfRule type="expression" dxfId="4" priority="473">
      <formula>$I$39="Fail"</formula>
    </cfRule>
    <cfRule type="expression" dxfId="4" priority="472">
      <formula>$I$37="Fail"</formula>
    </cfRule>
    <cfRule type="expression" dxfId="4" priority="471">
      <formula>$J$31="Fail"</formula>
    </cfRule>
    <cfRule type="expression" dxfId="4" priority="470">
      <formula>$J$26="Fail"</formula>
    </cfRule>
    <cfRule type="expression" dxfId="4" priority="469">
      <formula>$I$8&lt;=-75</formula>
    </cfRule>
    <cfRule type="expression" dxfId="4" priority="468">
      <formula>$I$7="Fail"</formula>
    </cfRule>
    <cfRule type="expression" dxfId="4" priority="467">
      <formula>$I$18="Fail"</formula>
    </cfRule>
    <cfRule type="expression" dxfId="4" priority="466">
      <formula>$I$16="Fail"</formula>
    </cfRule>
    <cfRule type="expression" dxfId="4" priority="465">
      <formula>$I$17&lt;-100</formula>
    </cfRule>
    <cfRule type="expression" dxfId="4" priority="464">
      <formula>AND(ABS($I$17-$C$17)&gt;15,$I$17&lt;&gt;"")</formula>
    </cfRule>
    <cfRule type="expression" dxfId="4" priority="463">
      <formula>AND($I$6&lt;&gt;"0x75",$I$6&lt;&gt;"")</formula>
    </cfRule>
    <cfRule type="expression" dxfId="4" priority="462">
      <formula>$I$5="Fail"</formula>
    </cfRule>
  </conditionalFormatting>
  <conditionalFormatting sqref="D5:I5">
    <cfRule type="cellIs" dxfId="2" priority="953" operator="equal">
      <formula>"Pass"</formula>
    </cfRule>
    <cfRule type="cellIs" dxfId="1" priority="932" operator="equal">
      <formula>"Fail"</formula>
    </cfRule>
    <cfRule type="cellIs" dxfId="0" priority="923" operator="equal">
      <formula>"Not Tested"</formula>
    </cfRule>
  </conditionalFormatting>
  <conditionalFormatting sqref="D6:I6">
    <cfRule type="cellIs" dxfId="2" priority="922" operator="equal">
      <formula>"0x75"</formula>
    </cfRule>
    <cfRule type="cellIs" dxfId="1" priority="921" operator="notEqual">
      <formula>"0x75"</formula>
    </cfRule>
    <cfRule type="cellIs" priority="920" stopIfTrue="1" operator="equal">
      <formula>""</formula>
    </cfRule>
  </conditionalFormatting>
  <conditionalFormatting sqref="D7:I7">
    <cfRule type="cellIs" dxfId="1" priority="931" operator="equal">
      <formula>"Fail"</formula>
    </cfRule>
    <cfRule type="cellIs" dxfId="2" priority="930" operator="equal">
      <formula>"Pass"</formula>
    </cfRule>
  </conditionalFormatting>
  <conditionalFormatting sqref="D8:I8">
    <cfRule type="cellIs" dxfId="1" priority="950" operator="lessThanOrEqual">
      <formula>-75</formula>
    </cfRule>
    <cfRule type="cellIs" dxfId="2" priority="951" operator="greaterThan">
      <formula>-75</formula>
    </cfRule>
    <cfRule type="cellIs" priority="919" stopIfTrue="1" operator="equal">
      <formula>""</formula>
    </cfRule>
    <cfRule type="cellIs" dxfId="1" priority="929" operator="equal">
      <formula>"Not Linked"</formula>
    </cfRule>
  </conditionalFormatting>
  <conditionalFormatting sqref="D16:I16">
    <cfRule type="cellIs" dxfId="1" priority="928" operator="equal">
      <formula>"Fail"</formula>
    </cfRule>
    <cfRule type="cellIs" dxfId="2" priority="927" operator="equal">
      <formula>"Pass"</formula>
    </cfRule>
  </conditionalFormatting>
  <conditionalFormatting sqref="D17:I17">
    <cfRule type="cellIs" dxfId="1" priority="933" operator="lessThan">
      <formula>$C$17-15</formula>
    </cfRule>
    <cfRule type="cellIs" dxfId="1" priority="934" operator="greaterThan">
      <formula>$C$17+15</formula>
    </cfRule>
    <cfRule type="cellIs" dxfId="2" priority="935" operator="between">
      <formula>$C$17-15</formula>
      <formula>$C$17+15</formula>
    </cfRule>
    <cfRule type="cellIs" dxfId="5" priority="926" stopIfTrue="1" operator="equal">
      <formula>""</formula>
    </cfRule>
  </conditionalFormatting>
  <conditionalFormatting sqref="D18:I18">
    <cfRule type="cellIs" dxfId="1" priority="925" operator="equal">
      <formula>"Fail"</formula>
    </cfRule>
    <cfRule type="cellIs" dxfId="2" priority="924" operator="equal">
      <formula>"Pass"</formula>
    </cfRule>
  </conditionalFormatting>
  <conditionalFormatting sqref="E22">
    <cfRule type="cellIs" dxfId="1" priority="808" operator="lessThan">
      <formula>13786.3</formula>
    </cfRule>
    <cfRule type="cellIs" dxfId="1" priority="807" operator="greaterThan">
      <formula>13813.7</formula>
    </cfRule>
    <cfRule type="cellIs" dxfId="6" priority="806" operator="between">
      <formula>13786.3</formula>
      <formula>13813.7</formula>
    </cfRule>
    <cfRule type="cellIs" dxfId="7" priority="461" stopIfTrue="1" operator="equal">
      <formula>""</formula>
    </cfRule>
  </conditionalFormatting>
  <conditionalFormatting sqref="F22">
    <cfRule type="cellIs" dxfId="1" priority="449" operator="lessThan">
      <formula>13786.3</formula>
    </cfRule>
    <cfRule type="cellIs" dxfId="1" priority="448" operator="greaterThan">
      <formula>13813.7</formula>
    </cfRule>
    <cfRule type="cellIs" dxfId="6" priority="447" operator="between">
      <formula>13786.3</formula>
      <formula>13813.7</formula>
    </cfRule>
    <cfRule type="cellIs" dxfId="7" priority="446" stopIfTrue="1" operator="equal">
      <formula>""</formula>
    </cfRule>
  </conditionalFormatting>
  <conditionalFormatting sqref="G22">
    <cfRule type="cellIs" dxfId="1" priority="445" operator="lessThan">
      <formula>13786.3</formula>
    </cfRule>
    <cfRule type="cellIs" dxfId="1" priority="444" operator="greaterThan">
      <formula>13813.7</formula>
    </cfRule>
    <cfRule type="cellIs" dxfId="6" priority="443" operator="between">
      <formula>13786.3</formula>
      <formula>13813.7</formula>
    </cfRule>
    <cfRule type="cellIs" dxfId="7" priority="442" stopIfTrue="1" operator="equal">
      <formula>""</formula>
    </cfRule>
  </conditionalFormatting>
  <conditionalFormatting sqref="H22">
    <cfRule type="cellIs" dxfId="1" priority="441" operator="lessThan">
      <formula>13786.3</formula>
    </cfRule>
    <cfRule type="cellIs" dxfId="1" priority="440" operator="greaterThan">
      <formula>13813.7</formula>
    </cfRule>
    <cfRule type="cellIs" dxfId="6" priority="439" operator="between">
      <formula>13786.3</formula>
      <formula>13813.7</formula>
    </cfRule>
    <cfRule type="cellIs" dxfId="7" priority="438" stopIfTrue="1" operator="equal">
      <formula>""</formula>
    </cfRule>
  </conditionalFormatting>
  <conditionalFormatting sqref="I22">
    <cfRule type="cellIs" dxfId="1" priority="437" operator="lessThan">
      <formula>13786.3</formula>
    </cfRule>
    <cfRule type="cellIs" dxfId="1" priority="436" operator="greaterThan">
      <formula>13813.7</formula>
    </cfRule>
    <cfRule type="cellIs" dxfId="6" priority="435" operator="between">
      <formula>13786.3</formula>
      <formula>13813.7</formula>
    </cfRule>
    <cfRule type="cellIs" dxfId="7" priority="434" stopIfTrue="1" operator="equal">
      <formula>""</formula>
    </cfRule>
  </conditionalFormatting>
  <conditionalFormatting sqref="J22">
    <cfRule type="cellIs" dxfId="1" priority="433" operator="lessThan">
      <formula>13786.3</formula>
    </cfRule>
    <cfRule type="cellIs" dxfId="1" priority="432" operator="greaterThan">
      <formula>13813.7</formula>
    </cfRule>
    <cfRule type="cellIs" dxfId="6" priority="431" operator="between">
      <formula>13786.3</formula>
      <formula>13813.7</formula>
    </cfRule>
    <cfRule type="cellIs" dxfId="7" priority="430" stopIfTrue="1" operator="equal">
      <formula>""</formula>
    </cfRule>
  </conditionalFormatting>
  <conditionalFormatting sqref="E23">
    <cfRule type="cellIs" dxfId="8" priority="798" operator="between">
      <formula>119.89</formula>
      <formula>120.11</formula>
    </cfRule>
    <cfRule type="cellIs" dxfId="7" priority="429" stopIfTrue="1" operator="equal">
      <formula>""</formula>
    </cfRule>
    <cfRule type="cellIs" dxfId="1" priority="801" operator="greaterThan">
      <formula>120.11</formula>
    </cfRule>
    <cfRule type="cellIs" dxfId="1" priority="802" operator="lessThan">
      <formula>119.89</formula>
    </cfRule>
  </conditionalFormatting>
  <conditionalFormatting sqref="F23">
    <cfRule type="cellIs" dxfId="1" priority="403" operator="lessThan">
      <formula>119.89</formula>
    </cfRule>
    <cfRule type="cellIs" dxfId="1" priority="402" operator="greaterThan">
      <formula>120.11</formula>
    </cfRule>
    <cfRule type="cellIs" dxfId="8" priority="401" operator="between">
      <formula>119.89</formula>
      <formula>120.11</formula>
    </cfRule>
    <cfRule type="cellIs" dxfId="7" priority="400" stopIfTrue="1" operator="equal">
      <formula>""</formula>
    </cfRule>
  </conditionalFormatting>
  <conditionalFormatting sqref="G23">
    <cfRule type="cellIs" dxfId="1" priority="399" operator="lessThan">
      <formula>119.89</formula>
    </cfRule>
    <cfRule type="cellIs" dxfId="1" priority="398" operator="greaterThan">
      <formula>120.11</formula>
    </cfRule>
    <cfRule type="cellIs" dxfId="8" priority="397" operator="between">
      <formula>119.89</formula>
      <formula>120.11</formula>
    </cfRule>
    <cfRule type="cellIs" dxfId="7" priority="396" stopIfTrue="1" operator="equal">
      <formula>""</formula>
    </cfRule>
  </conditionalFormatting>
  <conditionalFormatting sqref="H23">
    <cfRule type="cellIs" dxfId="1" priority="395" operator="lessThan">
      <formula>119.89</formula>
    </cfRule>
    <cfRule type="cellIs" dxfId="1" priority="394" operator="greaterThan">
      <formula>120.11</formula>
    </cfRule>
    <cfRule type="cellIs" dxfId="8" priority="393" operator="between">
      <formula>119.89</formula>
      <formula>120.11</formula>
    </cfRule>
    <cfRule type="cellIs" dxfId="7" priority="392" stopIfTrue="1" operator="equal">
      <formula>""</formula>
    </cfRule>
  </conditionalFormatting>
  <conditionalFormatting sqref="I23">
    <cfRule type="cellIs" dxfId="1" priority="391" operator="lessThan">
      <formula>119.89</formula>
    </cfRule>
    <cfRule type="cellIs" dxfId="1" priority="390" operator="greaterThan">
      <formula>120.11</formula>
    </cfRule>
    <cfRule type="cellIs" dxfId="8" priority="389" operator="between">
      <formula>119.89</formula>
      <formula>120.11</formula>
    </cfRule>
    <cfRule type="cellIs" dxfId="7" priority="388" stopIfTrue="1" operator="equal">
      <formula>""</formula>
    </cfRule>
  </conditionalFormatting>
  <conditionalFormatting sqref="J23">
    <cfRule type="cellIs" dxfId="1" priority="387" operator="lessThan">
      <formula>119.89</formula>
    </cfRule>
    <cfRule type="cellIs" dxfId="1" priority="386" operator="greaterThan">
      <formula>120.11</formula>
    </cfRule>
    <cfRule type="cellIs" dxfId="8" priority="385" operator="between">
      <formula>119.89</formula>
      <formula>120.11</formula>
    </cfRule>
    <cfRule type="cellIs" dxfId="7" priority="384" stopIfTrue="1" operator="equal">
      <formula>""</formula>
    </cfRule>
  </conditionalFormatting>
  <conditionalFormatting sqref="E25">
    <cfRule type="cellIs" dxfId="1" priority="794" operator="lessThan">
      <formula>1482949</formula>
    </cfRule>
    <cfRule type="cellIs" dxfId="1" priority="793" operator="greaterThan">
      <formula>1497851</formula>
    </cfRule>
    <cfRule type="cellIs" dxfId="8" priority="686" operator="between">
      <formula>1482949</formula>
      <formula>1497851</formula>
    </cfRule>
    <cfRule type="cellIs" dxfId="7" priority="383" stopIfTrue="1" operator="equal">
      <formula>""</formula>
    </cfRule>
  </conditionalFormatting>
  <conditionalFormatting sqref="F25">
    <cfRule type="cellIs" dxfId="1" priority="367" operator="lessThan">
      <formula>1482949</formula>
    </cfRule>
    <cfRule type="cellIs" dxfId="1" priority="366" operator="greaterThan">
      <formula>1497851</formula>
    </cfRule>
    <cfRule type="cellIs" dxfId="8" priority="365" operator="between">
      <formula>1482949</formula>
      <formula>1497851</formula>
    </cfRule>
    <cfRule type="cellIs" dxfId="7" priority="364" stopIfTrue="1" operator="equal">
      <formula>""</formula>
    </cfRule>
  </conditionalFormatting>
  <conditionalFormatting sqref="G25">
    <cfRule type="cellIs" dxfId="1" priority="363" operator="lessThan">
      <formula>1482949</formula>
    </cfRule>
    <cfRule type="cellIs" dxfId="1" priority="362" operator="greaterThan">
      <formula>1497851</formula>
    </cfRule>
    <cfRule type="cellIs" dxfId="8" priority="361" operator="between">
      <formula>1482949</formula>
      <formula>1497851</formula>
    </cfRule>
    <cfRule type="cellIs" dxfId="7" priority="360" stopIfTrue="1" operator="equal">
      <formula>""</formula>
    </cfRule>
  </conditionalFormatting>
  <conditionalFormatting sqref="H25">
    <cfRule type="cellIs" dxfId="1" priority="359" operator="lessThan">
      <formula>1482949</formula>
    </cfRule>
    <cfRule type="cellIs" dxfId="1" priority="358" operator="greaterThan">
      <formula>1497851</formula>
    </cfRule>
    <cfRule type="cellIs" dxfId="8" priority="357" operator="between">
      <formula>1482949</formula>
      <formula>1497851</formula>
    </cfRule>
    <cfRule type="cellIs" dxfId="7" priority="356" stopIfTrue="1" operator="equal">
      <formula>""</formula>
    </cfRule>
  </conditionalFormatting>
  <conditionalFormatting sqref="I25">
    <cfRule type="cellIs" dxfId="1" priority="355" operator="lessThan">
      <formula>1482949</formula>
    </cfRule>
    <cfRule type="cellIs" dxfId="1" priority="354" operator="greaterThan">
      <formula>1497851</formula>
    </cfRule>
    <cfRule type="cellIs" dxfId="8" priority="353" operator="between">
      <formula>1482949</formula>
      <formula>1497851</formula>
    </cfRule>
    <cfRule type="cellIs" dxfId="7" priority="352" stopIfTrue="1" operator="equal">
      <formula>""</formula>
    </cfRule>
  </conditionalFormatting>
  <conditionalFormatting sqref="J25">
    <cfRule type="cellIs" dxfId="1" priority="351" operator="lessThan">
      <formula>1482949</formula>
    </cfRule>
    <cfRule type="cellIs" dxfId="1" priority="350" operator="greaterThan">
      <formula>1497851</formula>
    </cfRule>
    <cfRule type="cellIs" dxfId="8" priority="349" operator="between">
      <formula>1482949</formula>
      <formula>1497851</formula>
    </cfRule>
    <cfRule type="cellIs" dxfId="7" priority="348" stopIfTrue="1" operator="equal">
      <formula>""</formula>
    </cfRule>
  </conditionalFormatting>
  <conditionalFormatting sqref="E27">
    <cfRule type="cellIs" dxfId="1" priority="786" operator="lessThan">
      <formula>7192.9</formula>
    </cfRule>
    <cfRule type="cellIs" dxfId="1" priority="785" operator="greaterThan">
      <formula>7207.1</formula>
    </cfRule>
    <cfRule type="cellIs" dxfId="7" priority="347" stopIfTrue="1" operator="equal">
      <formula>""</formula>
    </cfRule>
    <cfRule type="cellIs" dxfId="8" priority="684" operator="between">
      <formula>7192.9</formula>
      <formula>7207.1</formula>
    </cfRule>
  </conditionalFormatting>
  <conditionalFormatting sqref="F27">
    <cfRule type="cellIs" dxfId="1" priority="346" operator="lessThan">
      <formula>7192.9</formula>
    </cfRule>
    <cfRule type="cellIs" dxfId="1" priority="345" operator="greaterThan">
      <formula>7207.1</formula>
    </cfRule>
    <cfRule type="cellIs" dxfId="8" priority="344" operator="between">
      <formula>7192.9</formula>
      <formula>7207.1</formula>
    </cfRule>
    <cfRule type="cellIs" dxfId="7" priority="343" stopIfTrue="1" operator="equal">
      <formula>""</formula>
    </cfRule>
  </conditionalFormatting>
  <conditionalFormatting sqref="G27">
    <cfRule type="cellIs" dxfId="1" priority="342" operator="lessThan">
      <formula>7192.9</formula>
    </cfRule>
    <cfRule type="cellIs" dxfId="1" priority="341" operator="greaterThan">
      <formula>7207.1</formula>
    </cfRule>
    <cfRule type="cellIs" dxfId="8" priority="340" operator="between">
      <formula>7192.9</formula>
      <formula>7207.1</formula>
    </cfRule>
    <cfRule type="cellIs" dxfId="7" priority="339" stopIfTrue="1" operator="equal">
      <formula>""</formula>
    </cfRule>
  </conditionalFormatting>
  <conditionalFormatting sqref="H27">
    <cfRule type="cellIs" dxfId="1" priority="338" operator="lessThan">
      <formula>7192.9</formula>
    </cfRule>
    <cfRule type="cellIs" dxfId="1" priority="337" operator="greaterThan">
      <formula>7207.1</formula>
    </cfRule>
    <cfRule type="cellIs" dxfId="8" priority="336" operator="between">
      <formula>7192.9</formula>
      <formula>7207.1</formula>
    </cfRule>
    <cfRule type="cellIs" dxfId="7" priority="335" stopIfTrue="1" operator="equal">
      <formula>""</formula>
    </cfRule>
  </conditionalFormatting>
  <conditionalFormatting sqref="I27">
    <cfRule type="cellIs" dxfId="1" priority="334" operator="lessThan">
      <formula>7192.9</formula>
    </cfRule>
    <cfRule type="cellIs" dxfId="1" priority="333" operator="greaterThan">
      <formula>7207.1</formula>
    </cfRule>
    <cfRule type="cellIs" dxfId="8" priority="332" operator="between">
      <formula>7192.9</formula>
      <formula>7207.1</formula>
    </cfRule>
    <cfRule type="cellIs" dxfId="7" priority="331" stopIfTrue="1" operator="equal">
      <formula>""</formula>
    </cfRule>
  </conditionalFormatting>
  <conditionalFormatting sqref="J27">
    <cfRule type="cellIs" dxfId="1" priority="330" operator="lessThan">
      <formula>7192.9</formula>
    </cfRule>
    <cfRule type="cellIs" dxfId="1" priority="329" operator="greaterThan">
      <formula>7207.1</formula>
    </cfRule>
    <cfRule type="cellIs" dxfId="8" priority="328" operator="between">
      <formula>7192.9</formula>
      <formula>7207.1</formula>
    </cfRule>
    <cfRule type="cellIs" dxfId="7" priority="327" stopIfTrue="1" operator="equal">
      <formula>""</formula>
    </cfRule>
  </conditionalFormatting>
  <conditionalFormatting sqref="E28">
    <cfRule type="cellIs" dxfId="1" priority="783" operator="lessThan">
      <formula>59.95</formula>
    </cfRule>
    <cfRule type="cellIs" dxfId="9" priority="782" operator="greaterThan">
      <formula>60.05</formula>
    </cfRule>
    <cfRule type="cellIs" dxfId="7" priority="326" stopIfTrue="1" operator="equal">
      <formula>""</formula>
    </cfRule>
    <cfRule type="cellIs" dxfId="8" priority="781" operator="between">
      <formula>59.95</formula>
      <formula>60.05</formula>
    </cfRule>
  </conditionalFormatting>
  <conditionalFormatting sqref="F28">
    <cfRule type="cellIs" dxfId="1" priority="321" operator="lessThan">
      <formula>59.95</formula>
    </cfRule>
    <cfRule type="cellIs" dxfId="9" priority="320" operator="greaterThan">
      <formula>60.05</formula>
    </cfRule>
    <cfRule type="cellIs" dxfId="8" priority="319" operator="between">
      <formula>59.95</formula>
      <formula>60.05</formula>
    </cfRule>
    <cfRule type="cellIs" dxfId="7" priority="318" stopIfTrue="1" operator="equal">
      <formula>""</formula>
    </cfRule>
  </conditionalFormatting>
  <conditionalFormatting sqref="G28">
    <cfRule type="cellIs" dxfId="1" priority="317" operator="lessThan">
      <formula>59.95</formula>
    </cfRule>
    <cfRule type="cellIs" dxfId="9" priority="316" operator="greaterThan">
      <formula>60.05</formula>
    </cfRule>
    <cfRule type="cellIs" dxfId="8" priority="315" operator="between">
      <formula>59.95</formula>
      <formula>60.05</formula>
    </cfRule>
    <cfRule type="cellIs" dxfId="7" priority="314" stopIfTrue="1" operator="equal">
      <formula>""</formula>
    </cfRule>
  </conditionalFormatting>
  <conditionalFormatting sqref="H28">
    <cfRule type="cellIs" dxfId="1" priority="313" operator="lessThan">
      <formula>59.95</formula>
    </cfRule>
    <cfRule type="cellIs" dxfId="9" priority="312" operator="greaterThan">
      <formula>60.05</formula>
    </cfRule>
    <cfRule type="cellIs" dxfId="8" priority="311" operator="between">
      <formula>59.95</formula>
      <formula>60.05</formula>
    </cfRule>
    <cfRule type="cellIs" dxfId="7" priority="310" stopIfTrue="1" operator="equal">
      <formula>""</formula>
    </cfRule>
  </conditionalFormatting>
  <conditionalFormatting sqref="I28">
    <cfRule type="cellIs" dxfId="1" priority="309" operator="lessThan">
      <formula>59.95</formula>
    </cfRule>
    <cfRule type="cellIs" dxfId="9" priority="308" operator="greaterThan">
      <formula>60.05</formula>
    </cfRule>
    <cfRule type="cellIs" dxfId="8" priority="307" operator="between">
      <formula>59.95</formula>
      <formula>60.05</formula>
    </cfRule>
    <cfRule type="cellIs" dxfId="7" priority="306" stopIfTrue="1" operator="equal">
      <formula>""</formula>
    </cfRule>
  </conditionalFormatting>
  <conditionalFormatting sqref="J28">
    <cfRule type="cellIs" dxfId="1" priority="305" operator="lessThan">
      <formula>59.95</formula>
    </cfRule>
    <cfRule type="cellIs" dxfId="9" priority="304" operator="greaterThan">
      <formula>60.05</formula>
    </cfRule>
    <cfRule type="cellIs" dxfId="8" priority="303" operator="between">
      <formula>59.95</formula>
      <formula>60.05</formula>
    </cfRule>
    <cfRule type="cellIs" dxfId="7" priority="302" stopIfTrue="1" operator="equal">
      <formula>""</formula>
    </cfRule>
  </conditionalFormatting>
  <conditionalFormatting sqref="E30">
    <cfRule type="cellIs" dxfId="1" priority="780" operator="lessThan">
      <formula>386857</formula>
    </cfRule>
    <cfRule type="cellIs" dxfId="1" priority="779" operator="greaterThan">
      <formula>390743</formula>
    </cfRule>
    <cfRule type="cellIs" dxfId="7" priority="301" stopIfTrue="1" operator="equal">
      <formula>""</formula>
    </cfRule>
    <cfRule type="cellIs" dxfId="8" priority="778" operator="between">
      <formula>386857</formula>
      <formula>390743</formula>
    </cfRule>
  </conditionalFormatting>
  <conditionalFormatting sqref="F30">
    <cfRule type="cellIs" dxfId="1" priority="300" operator="lessThan">
      <formula>386857</formula>
    </cfRule>
    <cfRule type="cellIs" dxfId="1" priority="299" operator="greaterThan">
      <formula>390743</formula>
    </cfRule>
    <cfRule type="cellIs" dxfId="8" priority="298" operator="between">
      <formula>386857</formula>
      <formula>390743</formula>
    </cfRule>
    <cfRule type="cellIs" dxfId="7" priority="297" stopIfTrue="1" operator="equal">
      <formula>""</formula>
    </cfRule>
  </conditionalFormatting>
  <conditionalFormatting sqref="G30">
    <cfRule type="cellIs" dxfId="1" priority="296" operator="lessThan">
      <formula>386857</formula>
    </cfRule>
    <cfRule type="cellIs" dxfId="1" priority="295" operator="greaterThan">
      <formula>390743</formula>
    </cfRule>
    <cfRule type="cellIs" dxfId="8" priority="294" operator="between">
      <formula>386857</formula>
      <formula>390743</formula>
    </cfRule>
    <cfRule type="cellIs" dxfId="7" priority="293" stopIfTrue="1" operator="equal">
      <formula>""</formula>
    </cfRule>
  </conditionalFormatting>
  <conditionalFormatting sqref="H30">
    <cfRule type="cellIs" dxfId="1" priority="292" operator="lessThan">
      <formula>386857</formula>
    </cfRule>
    <cfRule type="cellIs" dxfId="1" priority="291" operator="greaterThan">
      <formula>390743</formula>
    </cfRule>
    <cfRule type="cellIs" dxfId="8" priority="290" operator="between">
      <formula>386857</formula>
      <formula>390743</formula>
    </cfRule>
    <cfRule type="cellIs" dxfId="7" priority="289" stopIfTrue="1" operator="equal">
      <formula>""</formula>
    </cfRule>
  </conditionalFormatting>
  <conditionalFormatting sqref="I30">
    <cfRule type="cellIs" dxfId="1" priority="288" operator="lessThan">
      <formula>386857</formula>
    </cfRule>
    <cfRule type="cellIs" dxfId="1" priority="287" operator="greaterThan">
      <formula>390743</formula>
    </cfRule>
    <cfRule type="cellIs" dxfId="8" priority="286" operator="between">
      <formula>386857</formula>
      <formula>390743</formula>
    </cfRule>
    <cfRule type="cellIs" dxfId="7" priority="285" stopIfTrue="1" operator="equal">
      <formula>""</formula>
    </cfRule>
  </conditionalFormatting>
  <conditionalFormatting sqref="J30">
    <cfRule type="cellIs" dxfId="1" priority="284" operator="lessThan">
      <formula>386857</formula>
    </cfRule>
    <cfRule type="cellIs" dxfId="1" priority="283" operator="greaterThan">
      <formula>390743</formula>
    </cfRule>
    <cfRule type="cellIs" dxfId="8" priority="282" operator="between">
      <formula>386857</formula>
      <formula>390743</formula>
    </cfRule>
    <cfRule type="cellIs" dxfId="7" priority="281" stopIfTrue="1" operator="equal">
      <formula>""</formula>
    </cfRule>
  </conditionalFormatting>
  <conditionalFormatting sqref="D34">
    <cfRule type="cellIs" dxfId="8" priority="278" operator="between">
      <formula>0.02376</formula>
      <formula>0.02624</formula>
    </cfRule>
    <cfRule type="cellIs" dxfId="10" priority="277" operator="equal">
      <formula>""</formula>
    </cfRule>
    <cfRule type="cellIs" dxfId="11" priority="280" operator="lessThan">
      <formula>0.02376</formula>
    </cfRule>
    <cfRule type="cellIs" dxfId="11" priority="279" operator="greaterThan">
      <formula>0.02624</formula>
    </cfRule>
  </conditionalFormatting>
  <conditionalFormatting sqref="E34">
    <cfRule type="cellIs" dxfId="11" priority="60" operator="lessThan">
      <formula>0.02376</formula>
    </cfRule>
    <cfRule type="cellIs" dxfId="11" priority="59" operator="greaterThan">
      <formula>0.02624</formula>
    </cfRule>
    <cfRule type="cellIs" dxfId="8" priority="58" operator="between">
      <formula>0.02376</formula>
      <formula>0.02624</formula>
    </cfRule>
    <cfRule type="cellIs" dxfId="10" priority="57" operator="equal">
      <formula>""</formula>
    </cfRule>
  </conditionalFormatting>
  <conditionalFormatting sqref="F34">
    <cfRule type="cellIs" dxfId="11" priority="56" operator="lessThan">
      <formula>0.02376</formula>
    </cfRule>
    <cfRule type="cellIs" dxfId="11" priority="55" operator="greaterThan">
      <formula>0.02624</formula>
    </cfRule>
    <cfRule type="cellIs" dxfId="8" priority="54" operator="between">
      <formula>0.02376</formula>
      <formula>0.02624</formula>
    </cfRule>
    <cfRule type="cellIs" dxfId="10" priority="53" operator="equal">
      <formula>""</formula>
    </cfRule>
  </conditionalFormatting>
  <conditionalFormatting sqref="G34">
    <cfRule type="cellIs" dxfId="11" priority="52" operator="lessThan">
      <formula>0.02376</formula>
    </cfRule>
    <cfRule type="cellIs" dxfId="11" priority="51" operator="greaterThan">
      <formula>0.02624</formula>
    </cfRule>
    <cfRule type="cellIs" dxfId="8" priority="50" operator="between">
      <formula>0.02376</formula>
      <formula>0.02624</formula>
    </cfRule>
    <cfRule type="cellIs" dxfId="10" priority="49" operator="equal">
      <formula>""</formula>
    </cfRule>
  </conditionalFormatting>
  <conditionalFormatting sqref="H34">
    <cfRule type="cellIs" dxfId="11" priority="48" operator="lessThan">
      <formula>0.02376</formula>
    </cfRule>
    <cfRule type="cellIs" dxfId="11" priority="47" operator="greaterThan">
      <formula>0.02624</formula>
    </cfRule>
    <cfRule type="cellIs" dxfId="8" priority="46" operator="between">
      <formula>0.02376</formula>
      <formula>0.02624</formula>
    </cfRule>
    <cfRule type="cellIs" dxfId="10" priority="45" operator="equal">
      <formula>""</formula>
    </cfRule>
  </conditionalFormatting>
  <conditionalFormatting sqref="I34">
    <cfRule type="cellIs" dxfId="11" priority="44" operator="lessThan">
      <formula>0.02376</formula>
    </cfRule>
    <cfRule type="cellIs" dxfId="11" priority="43" operator="greaterThan">
      <formula>0.02624</formula>
    </cfRule>
    <cfRule type="cellIs" dxfId="8" priority="42" operator="between">
      <formula>0.02376</formula>
      <formula>0.02624</formula>
    </cfRule>
    <cfRule type="cellIs" dxfId="10" priority="41" operator="equal">
      <formula>""</formula>
    </cfRule>
  </conditionalFormatting>
  <conditionalFormatting sqref="D35">
    <cfRule type="cellIs" dxfId="10" priority="253" stopIfTrue="1" operator="equal">
      <formula>""</formula>
    </cfRule>
    <cfRule type="cellIs" dxfId="12" priority="254" operator="between">
      <formula>1.20001</formula>
      <formula>1.79999</formula>
    </cfRule>
    <cfRule type="cellIs" dxfId="11" priority="256" operator="lessThan">
      <formula>1.20001</formula>
    </cfRule>
    <cfRule type="cellIs" dxfId="11" priority="255" operator="greaterThan">
      <formula>1.79999</formula>
    </cfRule>
  </conditionalFormatting>
  <conditionalFormatting sqref="E35">
    <cfRule type="cellIs" dxfId="11" priority="40" operator="lessThan">
      <formula>1.20001</formula>
    </cfRule>
    <cfRule type="cellIs" dxfId="11" priority="39" operator="greaterThan">
      <formula>1.79999</formula>
    </cfRule>
    <cfRule type="cellIs" dxfId="12" priority="38" operator="between">
      <formula>1.20001</formula>
      <formula>1.79999</formula>
    </cfRule>
    <cfRule type="cellIs" dxfId="10" priority="37" stopIfTrue="1" operator="equal">
      <formula>""</formula>
    </cfRule>
  </conditionalFormatting>
  <conditionalFormatting sqref="F35">
    <cfRule type="cellIs" dxfId="11" priority="36" operator="lessThan">
      <formula>1.20001</formula>
    </cfRule>
    <cfRule type="cellIs" dxfId="11" priority="35" operator="greaterThan">
      <formula>1.79999</formula>
    </cfRule>
    <cfRule type="cellIs" dxfId="12" priority="34" operator="between">
      <formula>1.20001</formula>
      <formula>1.79999</formula>
    </cfRule>
    <cfRule type="cellIs" dxfId="10" priority="33" stopIfTrue="1" operator="equal">
      <formula>""</formula>
    </cfRule>
  </conditionalFormatting>
  <conditionalFormatting sqref="G35">
    <cfRule type="cellIs" dxfId="11" priority="32" operator="lessThan">
      <formula>1.20001</formula>
    </cfRule>
    <cfRule type="cellIs" dxfId="11" priority="31" operator="greaterThan">
      <formula>1.79999</formula>
    </cfRule>
    <cfRule type="cellIs" dxfId="12" priority="30" operator="between">
      <formula>1.20001</formula>
      <formula>1.79999</formula>
    </cfRule>
    <cfRule type="cellIs" dxfId="10" priority="29" stopIfTrue="1" operator="equal">
      <formula>""</formula>
    </cfRule>
  </conditionalFormatting>
  <conditionalFormatting sqref="H35">
    <cfRule type="cellIs" dxfId="11" priority="28" operator="lessThan">
      <formula>1.20001</formula>
    </cfRule>
    <cfRule type="cellIs" dxfId="11" priority="27" operator="greaterThan">
      <formula>1.79999</formula>
    </cfRule>
    <cfRule type="cellIs" dxfId="12" priority="26" operator="between">
      <formula>1.20001</formula>
      <formula>1.79999</formula>
    </cfRule>
    <cfRule type="cellIs" dxfId="10" priority="25" stopIfTrue="1" operator="equal">
      <formula>""</formula>
    </cfRule>
  </conditionalFormatting>
  <conditionalFormatting sqref="I35">
    <cfRule type="cellIs" dxfId="11" priority="24" operator="lessThan">
      <formula>1.20001</formula>
    </cfRule>
    <cfRule type="cellIs" dxfId="11" priority="23" operator="greaterThan">
      <formula>1.79999</formula>
    </cfRule>
    <cfRule type="cellIs" dxfId="12" priority="22" operator="between">
      <formula>1.20001</formula>
      <formula>1.79999</formula>
    </cfRule>
    <cfRule type="cellIs" dxfId="10" priority="21" stopIfTrue="1" operator="equal">
      <formula>""</formula>
    </cfRule>
  </conditionalFormatting>
  <conditionalFormatting sqref="D36">
    <cfRule type="cellIs" dxfId="10" priority="229" stopIfTrue="1" operator="equal">
      <formula>""</formula>
    </cfRule>
    <cfRule type="cellIs" dxfId="8" priority="230" operator="between">
      <formula>-44.99999</formula>
      <formula>44.99999</formula>
    </cfRule>
    <cfRule type="cellIs" dxfId="11" priority="232" operator="lessThan">
      <formula>-44.99999</formula>
    </cfRule>
    <cfRule type="cellIs" dxfId="11" priority="231" operator="greaterThan">
      <formula>44.99999</formula>
    </cfRule>
  </conditionalFormatting>
  <conditionalFormatting sqref="E36">
    <cfRule type="cellIs" dxfId="11" priority="20" operator="lessThan">
      <formula>-44.99999</formula>
    </cfRule>
    <cfRule type="cellIs" dxfId="11" priority="19" operator="greaterThan">
      <formula>44.99999</formula>
    </cfRule>
    <cfRule type="cellIs" dxfId="8" priority="18" operator="between">
      <formula>-44.99999</formula>
      <formula>44.99999</formula>
    </cfRule>
    <cfRule type="cellIs" dxfId="10" priority="17" stopIfTrue="1" operator="equal">
      <formula>""</formula>
    </cfRule>
  </conditionalFormatting>
  <conditionalFormatting sqref="F36">
    <cfRule type="cellIs" dxfId="11" priority="16" operator="lessThan">
      <formula>-44.99999</formula>
    </cfRule>
    <cfRule type="cellIs" dxfId="11" priority="15" operator="greaterThan">
      <formula>44.99999</formula>
    </cfRule>
    <cfRule type="cellIs" dxfId="8" priority="14" operator="between">
      <formula>-44.99999</formula>
      <formula>44.99999</formula>
    </cfRule>
    <cfRule type="cellIs" dxfId="10" priority="13" stopIfTrue="1" operator="equal">
      <formula>""</formula>
    </cfRule>
  </conditionalFormatting>
  <conditionalFormatting sqref="G36">
    <cfRule type="cellIs" dxfId="11" priority="12" operator="lessThan">
      <formula>-44.99999</formula>
    </cfRule>
    <cfRule type="cellIs" dxfId="11" priority="11" operator="greaterThan">
      <formula>44.99999</formula>
    </cfRule>
    <cfRule type="cellIs" dxfId="8" priority="10" operator="between">
      <formula>-44.99999</formula>
      <formula>44.99999</formula>
    </cfRule>
    <cfRule type="cellIs" dxfId="10" priority="9" stopIfTrue="1" operator="equal">
      <formula>""</formula>
    </cfRule>
  </conditionalFormatting>
  <conditionalFormatting sqref="H36">
    <cfRule type="cellIs" dxfId="11" priority="8" operator="lessThan">
      <formula>-44.99999</formula>
    </cfRule>
    <cfRule type="cellIs" dxfId="11" priority="7" operator="greaterThan">
      <formula>44.99999</formula>
    </cfRule>
    <cfRule type="cellIs" dxfId="8" priority="6" operator="between">
      <formula>-44.99999</formula>
      <formula>44.99999</formula>
    </cfRule>
    <cfRule type="cellIs" dxfId="10" priority="5" stopIfTrue="1" operator="equal">
      <formula>""</formula>
    </cfRule>
  </conditionalFormatting>
  <conditionalFormatting sqref="I36">
    <cfRule type="cellIs" dxfId="11" priority="4" operator="lessThan">
      <formula>-44.99999</formula>
    </cfRule>
    <cfRule type="cellIs" dxfId="11" priority="3" operator="greaterThan">
      <formula>44.99999</formula>
    </cfRule>
    <cfRule type="cellIs" dxfId="8" priority="2" operator="between">
      <formula>-44.99999</formula>
      <formula>44.99999</formula>
    </cfRule>
    <cfRule type="cellIs" dxfId="10" priority="1" stopIfTrue="1" operator="equal">
      <formula>""</formula>
    </cfRule>
  </conditionalFormatting>
  <conditionalFormatting sqref="D37:I37">
    <cfRule type="cellIs" dxfId="2" priority="958" operator="equal">
      <formula>"Pass"</formula>
    </cfRule>
    <cfRule type="cellIs" dxfId="0" priority="959" operator="equal">
      <formula>"Untested"</formula>
    </cfRule>
    <cfRule type="cellIs" dxfId="1" priority="960" operator="equal">
      <formula>"Fail"</formula>
    </cfRule>
  </conditionalFormatting>
  <conditionalFormatting sqref="D38">
    <cfRule type="cellIs" dxfId="8" priority="207" operator="equal">
      <formula>"Pass"</formula>
    </cfRule>
    <cfRule type="cellIs" dxfId="13" priority="208" operator="equal">
      <formula>"Fail"</formula>
    </cfRule>
  </conditionalFormatting>
  <conditionalFormatting sqref="E38">
    <cfRule type="cellIs" dxfId="13" priority="190" operator="equal">
      <formula>"Fail"</formula>
    </cfRule>
    <cfRule type="cellIs" dxfId="8" priority="189" operator="equal">
      <formula>"Pass"</formula>
    </cfRule>
  </conditionalFormatting>
  <conditionalFormatting sqref="F38">
    <cfRule type="cellIs" dxfId="13" priority="188" operator="equal">
      <formula>"Fail"</formula>
    </cfRule>
    <cfRule type="cellIs" dxfId="8" priority="187" operator="equal">
      <formula>"Pass"</formula>
    </cfRule>
  </conditionalFormatting>
  <conditionalFormatting sqref="G38">
    <cfRule type="cellIs" dxfId="13" priority="186" operator="equal">
      <formula>"Fail"</formula>
    </cfRule>
    <cfRule type="cellIs" dxfId="8" priority="185" operator="equal">
      <formula>"Pass"</formula>
    </cfRule>
  </conditionalFormatting>
  <conditionalFormatting sqref="H38">
    <cfRule type="cellIs" dxfId="13" priority="184" operator="equal">
      <formula>"Fail"</formula>
    </cfRule>
    <cfRule type="cellIs" dxfId="8" priority="183" operator="equal">
      <formula>"Pass"</formula>
    </cfRule>
  </conditionalFormatting>
  <conditionalFormatting sqref="I38">
    <cfRule type="cellIs" dxfId="13" priority="182" operator="equal">
      <formula>"Fail"</formula>
    </cfRule>
    <cfRule type="cellIs" dxfId="8" priority="181" operator="equal">
      <formula>"Pass"</formula>
    </cfRule>
  </conditionalFormatting>
  <conditionalFormatting sqref="D39:I39">
    <cfRule type="cellIs" dxfId="2" priority="955" operator="equal">
      <formula>"Pass"</formula>
    </cfRule>
    <cfRule type="cellIs" dxfId="0" priority="956" operator="equal">
      <formula>"Untested"</formula>
    </cfRule>
    <cfRule type="cellIs" dxfId="1" priority="957" operator="equal">
      <formula>"Fail"</formula>
    </cfRule>
  </conditionalFormatting>
  <conditionalFormatting sqref="D9:I15">
    <cfRule type="cellIs" dxfId="14" priority="918" operator="notEqual">
      <formula>""</formula>
    </cfRule>
  </conditionalFormatting>
  <conditionalFormatting sqref="E26:J26 E31:J31">
    <cfRule type="cellIs" dxfId="2" priority="964" operator="equal">
      <formula>"Pass"</formula>
    </cfRule>
    <cfRule type="cellIs" dxfId="0" priority="965" operator="equal">
      <formula>"Untested"</formula>
    </cfRule>
    <cfRule type="cellIs" dxfId="1" priority="966" operator="equal">
      <formula>"Fail"</formula>
    </cfRule>
  </conditionalFormatting>
  <hyperlinks>
    <hyperlink ref="B9" r:id="rId1" display="Scale Raw Temp"/>
  </hyperlinks>
  <pageMargins left="0.699305555555556" right="0.699305555555556" top="0.75" bottom="0.75" header="0.3" footer="0.3"/>
  <pageSetup paperSize="1" scale="96" orientation="landscape"/>
  <headerFooter/>
  <rowBreaks count="1" manualBreakCount="1">
    <brk id="18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Collector</vt:lpstr>
      <vt:lpstr>Sensor(s)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Baker, Kevin R.</dc:creator>
  <cp:lastModifiedBy>charles</cp:lastModifiedBy>
  <dcterms:created xsi:type="dcterms:W3CDTF">2017-01-13T12:35:00Z</dcterms:created>
  <cp:lastPrinted>2017-01-13T16:59:00Z</cp:lastPrinted>
  <dcterms:modified xsi:type="dcterms:W3CDTF">2020-09-18T14:21:05Z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1033-11.2.0.9260</vt:lpwstr>
  </property>
</Properties>
</file>